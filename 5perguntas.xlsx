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pcialidade" sheetId="1" r:id="rId5"/>
    <sheet state="visible" name="PERGUNTA 1" sheetId="2" r:id="rId6"/>
    <sheet state="visible" name="PERGUNTA 2" sheetId="3" r:id="rId7"/>
    <sheet state="visible" name="PERGUNTA 3" sheetId="4" r:id="rId8"/>
    <sheet state="visible" name="PERGUNTA 4" sheetId="5" r:id="rId9"/>
    <sheet state="visible" name="PERGUNTA 5" sheetId="6" r:id="rId10"/>
  </sheets>
  <definedNames/>
  <calcPr/>
</workbook>
</file>

<file path=xl/sharedStrings.xml><?xml version="1.0" encoding="utf-8"?>
<sst xmlns="http://schemas.openxmlformats.org/spreadsheetml/2006/main" count="224" uniqueCount="31">
  <si>
    <t>ano</t>
  </si>
  <si>
    <t>nome_ra</t>
  </si>
  <si>
    <t>casamentos</t>
  </si>
  <si>
    <t>pop_15mais</t>
  </si>
  <si>
    <t>taxa_nupcialidade</t>
  </si>
  <si>
    <t>id_media_homem</t>
  </si>
  <si>
    <t>id_media_mulher</t>
  </si>
  <si>
    <t>RA Araçatuba</t>
  </si>
  <si>
    <t>RA Barretos</t>
  </si>
  <si>
    <t>RA Bauru</t>
  </si>
  <si>
    <t>RA Campinas</t>
  </si>
  <si>
    <t>RA Central</t>
  </si>
  <si>
    <t>RA Franca</t>
  </si>
  <si>
    <t>RA Itapeva</t>
  </si>
  <si>
    <t>RA Marília</t>
  </si>
  <si>
    <t>RA Presidente Prudente</t>
  </si>
  <si>
    <t>RA Registro</t>
  </si>
  <si>
    <t>RA Ribeirão Preto</t>
  </si>
  <si>
    <t>RA Santos</t>
  </si>
  <si>
    <t>RA São José do Rio Preto</t>
  </si>
  <si>
    <t>RA São José dos Campos</t>
  </si>
  <si>
    <t>RA Sorocaba</t>
  </si>
  <si>
    <t>RM São Paulo</t>
  </si>
  <si>
    <t>Quantos casamentos tiveram em São José dos Campos no total?</t>
  </si>
  <si>
    <t>Quantas vezes a taxa de nupcialidade foi maior que 7?</t>
  </si>
  <si>
    <t>Qual a média de idade dos homens por ano?</t>
  </si>
  <si>
    <t>Quais munícipios a idade da mulher era maior que 30 em 2014?</t>
  </si>
  <si>
    <t>Qual porcentagem da população de São Paulo era maior de 15 anos em 2024?</t>
  </si>
  <si>
    <t>POPULAÇÃO TOTAL</t>
  </si>
  <si>
    <t>POPULAÇÃO 15+</t>
  </si>
  <si>
    <t>PORCENTAGEM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</si>
</sst>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ECECEC"/>
        <bgColor rgb="FFECECEC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2">
    <border/>
    <border>
      <left style="thin">
        <color rgb="FFC8C8C8"/>
      </left>
      <right/>
      <top style="thin">
        <color rgb="FFC8C8C8"/>
      </top>
      <bottom style="thin">
        <color rgb="FFC8C8C8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3" xfId="0" applyFont="1" applyNumberFormat="1"/>
    <xf borderId="0" fillId="2" fontId="3" numFmtId="0" xfId="0" applyAlignment="1" applyFill="1" applyFont="1">
      <alignment horizontal="center"/>
    </xf>
    <xf borderId="0" fillId="0" fontId="2" numFmtId="0" xfId="0" applyFont="1"/>
    <xf borderId="0" fillId="3" fontId="2" numFmtId="0" xfId="0" applyFill="1" applyFont="1"/>
    <xf borderId="0" fillId="4" fontId="1" numFmtId="0" xfId="0" applyFill="1" applyFont="1"/>
    <xf borderId="1" fillId="5" fontId="3" numFmtId="0" xfId="0" applyBorder="1" applyFill="1" applyFont="1"/>
    <xf borderId="1" fillId="6" fontId="3" numFmtId="0" xfId="0" applyBorder="1" applyFill="1" applyFont="1"/>
    <xf borderId="0" fillId="4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0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7" fontId="2" numFmtId="0" xfId="0" applyAlignment="1" applyFill="1" applyFont="1">
      <alignment readingOrder="0"/>
    </xf>
    <xf borderId="0" fillId="7" fontId="2" numFmtId="1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3" pivot="0" name="nupcialidade-style">
      <tableStyleElement dxfId="1" type="headerRow"/>
      <tableStyleElement dxfId="2" type="firstRowStripe"/>
      <tableStyleElement dxfId="3" type="secondRowStripe"/>
    </tableStyle>
    <tableStyle count="2" pivot="0" name="PERGUNTA 4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93" displayName="Table_1" name="Table_1" id="1">
  <tableColumns count="7">
    <tableColumn name="ano" id="1"/>
    <tableColumn name="nome_ra" id="2"/>
    <tableColumn name="casamentos" id="3"/>
    <tableColumn name="pop_15mais" id="4"/>
    <tableColumn name="taxa_nupcialidade" id="5"/>
    <tableColumn name="id_media_homem" id="6"/>
    <tableColumn name="id_media_mulher" id="7"/>
  </tableColumns>
  <tableStyleInfo name="nupcialidade-style" showColumnStripes="0" showFirstColumn="1" showLastColumn="1" showRowStripes="1"/>
</table>
</file>

<file path=xl/tables/table2.xml><?xml version="1.0" encoding="utf-8"?>
<table xmlns="http://schemas.openxmlformats.org/spreadsheetml/2006/main" headerRowCount="0" ref="A2:B17" displayName="Table_2" name="Table_2" id="2">
  <tableColumns count="2">
    <tableColumn name="Column1" id="1"/>
    <tableColumn name="Column2" id="2"/>
  </tableColumns>
  <tableStyleInfo name="PERGUNTA 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3.0"/>
    <col customWidth="1" min="3" max="3" width="13.71"/>
    <col customWidth="1" min="4" max="4" width="13.43"/>
    <col customWidth="1" min="5" max="6" width="19.71"/>
    <col customWidth="1" min="7" max="7" width="19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2013.0</v>
      </c>
      <c r="B2" s="2" t="s">
        <v>7</v>
      </c>
      <c r="C2" s="3">
        <v>4960.0</v>
      </c>
      <c r="D2" s="3">
        <v>607493.0</v>
      </c>
      <c r="E2" s="2">
        <v>8.2</v>
      </c>
      <c r="F2" s="2">
        <v>32.8</v>
      </c>
      <c r="G2" s="2">
        <v>30.1</v>
      </c>
    </row>
    <row r="3">
      <c r="A3" s="2">
        <v>2013.0</v>
      </c>
      <c r="B3" s="2" t="s">
        <v>8</v>
      </c>
      <c r="C3" s="3">
        <v>3028.0</v>
      </c>
      <c r="D3" s="3">
        <v>341999.0</v>
      </c>
      <c r="E3" s="2">
        <v>8.9</v>
      </c>
      <c r="F3" s="2">
        <v>32.2</v>
      </c>
      <c r="G3" s="2">
        <v>29.4</v>
      </c>
    </row>
    <row r="4">
      <c r="A4" s="2">
        <v>2013.0</v>
      </c>
      <c r="B4" s="2" t="s">
        <v>9</v>
      </c>
      <c r="C4" s="3">
        <v>7491.0</v>
      </c>
      <c r="D4" s="3">
        <v>857661.0</v>
      </c>
      <c r="E4" s="2">
        <v>8.7</v>
      </c>
      <c r="F4" s="2">
        <v>32.6</v>
      </c>
      <c r="G4" s="2">
        <v>29.9</v>
      </c>
    </row>
    <row r="5">
      <c r="A5" s="2">
        <v>2013.0</v>
      </c>
      <c r="B5" s="2" t="s">
        <v>10</v>
      </c>
      <c r="C5" s="3">
        <v>44199.0</v>
      </c>
      <c r="D5" s="3">
        <v>5167096.0</v>
      </c>
      <c r="E5" s="2">
        <v>8.6</v>
      </c>
      <c r="F5" s="2">
        <v>32.3</v>
      </c>
      <c r="G5" s="2">
        <v>29.6</v>
      </c>
    </row>
    <row r="6">
      <c r="A6" s="2">
        <v>2013.0</v>
      </c>
      <c r="B6" s="2" t="s">
        <v>11</v>
      </c>
      <c r="C6" s="3">
        <v>6928.0</v>
      </c>
      <c r="D6" s="3">
        <v>784013.0</v>
      </c>
      <c r="E6" s="2">
        <v>8.8</v>
      </c>
      <c r="F6" s="2">
        <v>32.8</v>
      </c>
      <c r="G6" s="2">
        <v>30.1</v>
      </c>
    </row>
    <row r="7">
      <c r="A7" s="2">
        <v>2013.0</v>
      </c>
      <c r="B7" s="2" t="s">
        <v>12</v>
      </c>
      <c r="C7" s="3">
        <v>4583.0</v>
      </c>
      <c r="D7" s="3">
        <v>565832.0</v>
      </c>
      <c r="E7" s="2">
        <v>8.1</v>
      </c>
      <c r="F7" s="2">
        <v>31.7</v>
      </c>
      <c r="G7" s="2">
        <v>28.9</v>
      </c>
    </row>
    <row r="8">
      <c r="A8" s="2">
        <v>2013.0</v>
      </c>
      <c r="B8" s="2" t="s">
        <v>13</v>
      </c>
      <c r="C8" s="3">
        <v>3743.0</v>
      </c>
      <c r="D8" s="3">
        <v>395751.0</v>
      </c>
      <c r="E8" s="2">
        <v>9.5</v>
      </c>
      <c r="F8" s="2">
        <v>32.6</v>
      </c>
      <c r="G8" s="2">
        <v>28.9</v>
      </c>
    </row>
    <row r="9">
      <c r="A9" s="2">
        <v>2013.0</v>
      </c>
      <c r="B9" s="2" t="s">
        <v>14</v>
      </c>
      <c r="C9" s="3">
        <v>6216.0</v>
      </c>
      <c r="D9" s="3">
        <v>762427.0</v>
      </c>
      <c r="E9" s="2">
        <v>8.2</v>
      </c>
      <c r="F9" s="2">
        <v>32.9</v>
      </c>
      <c r="G9" s="2">
        <v>29.9</v>
      </c>
    </row>
    <row r="10">
      <c r="A10" s="2">
        <v>2013.0</v>
      </c>
      <c r="B10" s="2" t="s">
        <v>15</v>
      </c>
      <c r="C10" s="3">
        <v>5860.0</v>
      </c>
      <c r="D10" s="3">
        <v>680722.0</v>
      </c>
      <c r="E10" s="2">
        <v>8.6</v>
      </c>
      <c r="F10" s="2">
        <v>33.1</v>
      </c>
      <c r="G10" s="2">
        <v>29.8</v>
      </c>
    </row>
    <row r="11">
      <c r="A11" s="2">
        <v>2013.0</v>
      </c>
      <c r="B11" s="2" t="s">
        <v>16</v>
      </c>
      <c r="C11" s="3">
        <v>1738.0</v>
      </c>
      <c r="D11" s="3">
        <v>203799.0</v>
      </c>
      <c r="E11" s="2">
        <v>8.5</v>
      </c>
      <c r="F11" s="2">
        <v>34.7</v>
      </c>
      <c r="G11" s="2">
        <v>30.8</v>
      </c>
    </row>
    <row r="12">
      <c r="A12" s="2">
        <v>2013.0</v>
      </c>
      <c r="B12" s="2" t="s">
        <v>17</v>
      </c>
      <c r="C12" s="3">
        <v>7967.0</v>
      </c>
      <c r="D12" s="3">
        <v>1026781.0</v>
      </c>
      <c r="E12" s="2">
        <v>7.8</v>
      </c>
      <c r="F12" s="2">
        <v>32.2</v>
      </c>
      <c r="G12" s="2">
        <v>29.5</v>
      </c>
    </row>
    <row r="13">
      <c r="A13" s="2">
        <v>2013.0</v>
      </c>
      <c r="B13" s="2" t="s">
        <v>18</v>
      </c>
      <c r="C13" s="3">
        <v>10455.0</v>
      </c>
      <c r="D13" s="3">
        <v>1346732.0</v>
      </c>
      <c r="E13" s="2">
        <v>7.8</v>
      </c>
      <c r="F13" s="2">
        <v>34.5</v>
      </c>
      <c r="G13" s="2">
        <v>31.4</v>
      </c>
    </row>
    <row r="14">
      <c r="A14" s="2">
        <v>2013.0</v>
      </c>
      <c r="B14" s="2" t="s">
        <v>19</v>
      </c>
      <c r="C14" s="3">
        <v>9948.0</v>
      </c>
      <c r="D14" s="3">
        <v>1211531.0</v>
      </c>
      <c r="E14" s="2">
        <v>8.2</v>
      </c>
      <c r="F14" s="2">
        <v>32.9</v>
      </c>
      <c r="G14" s="2">
        <v>29.9</v>
      </c>
    </row>
    <row r="15">
      <c r="A15" s="2">
        <v>2013.0</v>
      </c>
      <c r="B15" s="2" t="s">
        <v>20</v>
      </c>
      <c r="C15" s="3">
        <v>17246.0</v>
      </c>
      <c r="D15" s="3">
        <v>1833832.0</v>
      </c>
      <c r="E15" s="2">
        <v>9.4</v>
      </c>
      <c r="F15" s="2">
        <v>32.7</v>
      </c>
      <c r="G15" s="2">
        <v>29.7</v>
      </c>
    </row>
    <row r="16">
      <c r="A16" s="2">
        <v>2013.0</v>
      </c>
      <c r="B16" s="2" t="s">
        <v>21</v>
      </c>
      <c r="C16" s="3">
        <v>17414.0</v>
      </c>
      <c r="D16" s="3">
        <v>1872085.0</v>
      </c>
      <c r="E16" s="2">
        <v>9.3</v>
      </c>
      <c r="F16" s="2">
        <v>32.6</v>
      </c>
      <c r="G16" s="2">
        <v>29.8</v>
      </c>
    </row>
    <row r="17">
      <c r="A17" s="2">
        <v>2013.0</v>
      </c>
      <c r="B17" s="2" t="s">
        <v>22</v>
      </c>
      <c r="C17" s="3">
        <v>128560.0</v>
      </c>
      <c r="D17" s="3">
        <v>1.5820757E7</v>
      </c>
      <c r="E17" s="2">
        <v>8.1</v>
      </c>
      <c r="F17" s="2">
        <v>32.8</v>
      </c>
      <c r="G17" s="2">
        <v>30.1</v>
      </c>
    </row>
    <row r="18">
      <c r="A18" s="2">
        <v>2014.0</v>
      </c>
      <c r="B18" s="2" t="s">
        <v>7</v>
      </c>
      <c r="C18" s="3">
        <v>5294.0</v>
      </c>
      <c r="D18" s="3">
        <v>612468.0</v>
      </c>
      <c r="E18" s="2">
        <v>8.6</v>
      </c>
      <c r="F18" s="2">
        <v>33.5</v>
      </c>
      <c r="G18" s="2">
        <v>30.6</v>
      </c>
    </row>
    <row r="19">
      <c r="A19" s="2">
        <v>2014.0</v>
      </c>
      <c r="B19" s="2" t="s">
        <v>8</v>
      </c>
      <c r="C19" s="3">
        <v>3372.0</v>
      </c>
      <c r="D19" s="3">
        <v>344548.0</v>
      </c>
      <c r="E19" s="2">
        <v>9.8</v>
      </c>
      <c r="F19" s="2">
        <v>33.0</v>
      </c>
      <c r="G19" s="2">
        <v>30.2</v>
      </c>
    </row>
    <row r="20">
      <c r="A20" s="2">
        <v>2014.0</v>
      </c>
      <c r="B20" s="2" t="s">
        <v>9</v>
      </c>
      <c r="C20" s="3">
        <v>7923.0</v>
      </c>
      <c r="D20" s="3">
        <v>865152.0</v>
      </c>
      <c r="E20" s="2">
        <v>9.2</v>
      </c>
      <c r="F20" s="2">
        <v>32.8</v>
      </c>
      <c r="G20" s="2">
        <v>30.1</v>
      </c>
    </row>
    <row r="21" ht="15.75" customHeight="1">
      <c r="A21" s="2">
        <v>2014.0</v>
      </c>
      <c r="B21" s="2" t="s">
        <v>10</v>
      </c>
      <c r="C21" s="3">
        <v>47206.0</v>
      </c>
      <c r="D21" s="3">
        <v>5239330.0</v>
      </c>
      <c r="E21" s="2">
        <v>9.0</v>
      </c>
      <c r="F21" s="2">
        <v>32.4</v>
      </c>
      <c r="G21" s="2">
        <v>29.7</v>
      </c>
    </row>
    <row r="22" ht="15.75" customHeight="1">
      <c r="A22" s="2">
        <v>2014.0</v>
      </c>
      <c r="B22" s="2" t="s">
        <v>11</v>
      </c>
      <c r="C22" s="3">
        <v>7317.0</v>
      </c>
      <c r="D22" s="3">
        <v>791886.0</v>
      </c>
      <c r="E22" s="2">
        <v>9.2</v>
      </c>
      <c r="F22" s="2">
        <v>33.1</v>
      </c>
      <c r="G22" s="2">
        <v>30.4</v>
      </c>
    </row>
    <row r="23" ht="15.75" customHeight="1">
      <c r="A23" s="2">
        <v>2014.0</v>
      </c>
      <c r="B23" s="2" t="s">
        <v>12</v>
      </c>
      <c r="C23" s="3">
        <v>5034.0</v>
      </c>
      <c r="D23" s="3">
        <v>571096.0</v>
      </c>
      <c r="E23" s="2">
        <v>8.8</v>
      </c>
      <c r="F23" s="2">
        <v>32.5</v>
      </c>
      <c r="G23" s="2">
        <v>29.5</v>
      </c>
    </row>
    <row r="24" ht="15.75" customHeight="1">
      <c r="A24" s="2">
        <v>2014.0</v>
      </c>
      <c r="B24" s="2" t="s">
        <v>13</v>
      </c>
      <c r="C24" s="3">
        <v>3753.0</v>
      </c>
      <c r="D24" s="3">
        <v>399216.0</v>
      </c>
      <c r="E24" s="2">
        <v>9.4</v>
      </c>
      <c r="F24" s="2">
        <v>32.8</v>
      </c>
      <c r="G24" s="2">
        <v>29.1</v>
      </c>
    </row>
    <row r="25" ht="15.75" customHeight="1">
      <c r="A25" s="2">
        <v>2014.0</v>
      </c>
      <c r="B25" s="2" t="s">
        <v>14</v>
      </c>
      <c r="C25" s="3">
        <v>6512.0</v>
      </c>
      <c r="D25" s="3">
        <v>767472.0</v>
      </c>
      <c r="E25" s="2">
        <v>8.5</v>
      </c>
      <c r="F25" s="2">
        <v>33.2</v>
      </c>
      <c r="G25" s="2">
        <v>30.3</v>
      </c>
    </row>
    <row r="26" ht="15.75" customHeight="1">
      <c r="A26" s="2">
        <v>2014.0</v>
      </c>
      <c r="B26" s="2" t="s">
        <v>15</v>
      </c>
      <c r="C26" s="3">
        <v>6055.0</v>
      </c>
      <c r="D26" s="3">
        <v>685434.0</v>
      </c>
      <c r="E26" s="2">
        <v>8.8</v>
      </c>
      <c r="F26" s="2">
        <v>33.2</v>
      </c>
      <c r="G26" s="2">
        <v>30.3</v>
      </c>
    </row>
    <row r="27" ht="15.75" customHeight="1">
      <c r="A27" s="2">
        <v>2014.0</v>
      </c>
      <c r="B27" s="2" t="s">
        <v>16</v>
      </c>
      <c r="C27" s="3">
        <v>1823.0</v>
      </c>
      <c r="D27" s="3">
        <v>205755.0</v>
      </c>
      <c r="E27" s="2">
        <v>8.9</v>
      </c>
      <c r="F27" s="2">
        <v>34.7</v>
      </c>
      <c r="G27" s="2">
        <v>30.9</v>
      </c>
    </row>
    <row r="28" ht="15.75" customHeight="1">
      <c r="A28" s="2">
        <v>2014.0</v>
      </c>
      <c r="B28" s="2" t="s">
        <v>17</v>
      </c>
      <c r="C28" s="3">
        <v>8756.0</v>
      </c>
      <c r="D28" s="3">
        <v>1040343.0</v>
      </c>
      <c r="E28" s="2">
        <v>8.4</v>
      </c>
      <c r="F28" s="2">
        <v>32.9</v>
      </c>
      <c r="G28" s="2">
        <v>30.2</v>
      </c>
    </row>
    <row r="29" ht="15.75" customHeight="1">
      <c r="A29" s="2">
        <v>2014.0</v>
      </c>
      <c r="B29" s="2" t="s">
        <v>18</v>
      </c>
      <c r="C29" s="3">
        <v>11377.0</v>
      </c>
      <c r="D29" s="3">
        <v>1363731.0</v>
      </c>
      <c r="E29" s="2">
        <v>8.3</v>
      </c>
      <c r="F29" s="2">
        <v>34.8</v>
      </c>
      <c r="G29" s="2">
        <v>31.8</v>
      </c>
    </row>
    <row r="30" ht="15.75" customHeight="1">
      <c r="A30" s="2">
        <v>2014.0</v>
      </c>
      <c r="B30" s="2" t="s">
        <v>19</v>
      </c>
      <c r="C30" s="3">
        <v>10480.0</v>
      </c>
      <c r="D30" s="3">
        <v>1226344.0</v>
      </c>
      <c r="E30" s="2">
        <v>8.6</v>
      </c>
      <c r="F30" s="2">
        <v>33.0</v>
      </c>
      <c r="G30" s="2">
        <v>30.3</v>
      </c>
    </row>
    <row r="31" ht="15.75" customHeight="1">
      <c r="A31" s="2">
        <v>2014.0</v>
      </c>
      <c r="B31" s="2" t="s">
        <v>20</v>
      </c>
      <c r="C31" s="3">
        <v>17467.0</v>
      </c>
      <c r="D31" s="3">
        <v>1858620.0</v>
      </c>
      <c r="E31" s="2">
        <v>9.4</v>
      </c>
      <c r="F31" s="2">
        <v>32.7</v>
      </c>
      <c r="G31" s="2">
        <v>29.7</v>
      </c>
    </row>
    <row r="32" ht="15.75" customHeight="1">
      <c r="A32" s="2">
        <v>2014.0</v>
      </c>
      <c r="B32" s="2" t="s">
        <v>21</v>
      </c>
      <c r="C32" s="3">
        <v>18506.0</v>
      </c>
      <c r="D32" s="3">
        <v>1903723.0</v>
      </c>
      <c r="E32" s="2">
        <v>9.7</v>
      </c>
      <c r="F32" s="2">
        <v>32.8</v>
      </c>
      <c r="G32" s="2">
        <v>29.9</v>
      </c>
    </row>
    <row r="33" ht="15.75" customHeight="1">
      <c r="A33" s="2">
        <v>2014.0</v>
      </c>
      <c r="B33" s="2" t="s">
        <v>22</v>
      </c>
      <c r="C33" s="3">
        <v>136602.0</v>
      </c>
      <c r="D33" s="3">
        <v>1.5976268E7</v>
      </c>
      <c r="E33" s="2">
        <v>8.6</v>
      </c>
      <c r="F33" s="2">
        <v>33.0</v>
      </c>
      <c r="G33" s="2">
        <v>30.4</v>
      </c>
    </row>
    <row r="34" ht="15.75" customHeight="1">
      <c r="A34" s="2">
        <v>2015.0</v>
      </c>
      <c r="B34" s="2" t="s">
        <v>7</v>
      </c>
      <c r="C34" s="3">
        <v>5207.0</v>
      </c>
      <c r="D34" s="3">
        <v>617434.0</v>
      </c>
      <c r="E34" s="2">
        <v>8.4</v>
      </c>
      <c r="F34" s="2">
        <v>34.0</v>
      </c>
      <c r="G34" s="2">
        <v>31.0</v>
      </c>
    </row>
    <row r="35" ht="15.75" customHeight="1">
      <c r="A35" s="2">
        <v>2015.0</v>
      </c>
      <c r="B35" s="2" t="s">
        <v>8</v>
      </c>
      <c r="C35" s="3">
        <v>3380.0</v>
      </c>
      <c r="D35" s="3">
        <v>347141.0</v>
      </c>
      <c r="E35" s="2">
        <v>9.7</v>
      </c>
      <c r="F35" s="2">
        <v>33.1</v>
      </c>
      <c r="G35" s="2">
        <v>30.3</v>
      </c>
    </row>
    <row r="36" ht="15.75" customHeight="1">
      <c r="A36" s="2">
        <v>2015.0</v>
      </c>
      <c r="B36" s="2" t="s">
        <v>9</v>
      </c>
      <c r="C36" s="3">
        <v>8250.0</v>
      </c>
      <c r="D36" s="3">
        <v>872707.0</v>
      </c>
      <c r="E36" s="2">
        <v>9.5</v>
      </c>
      <c r="F36" s="2">
        <v>33.3</v>
      </c>
      <c r="G36" s="2">
        <v>30.7</v>
      </c>
    </row>
    <row r="37" ht="15.75" customHeight="1">
      <c r="A37" s="2">
        <v>2015.0</v>
      </c>
      <c r="B37" s="2" t="s">
        <v>10</v>
      </c>
      <c r="C37" s="3">
        <v>49109.0</v>
      </c>
      <c r="D37" s="3">
        <v>5313228.0</v>
      </c>
      <c r="E37" s="2">
        <v>9.2</v>
      </c>
      <c r="F37" s="2">
        <v>32.7</v>
      </c>
      <c r="G37" s="2">
        <v>30.0</v>
      </c>
    </row>
    <row r="38" ht="15.75" customHeight="1">
      <c r="A38" s="2">
        <v>2015.0</v>
      </c>
      <c r="B38" s="2" t="s">
        <v>11</v>
      </c>
      <c r="C38" s="3">
        <v>7543.0</v>
      </c>
      <c r="D38" s="3">
        <v>799825.0</v>
      </c>
      <c r="E38" s="2">
        <v>9.4</v>
      </c>
      <c r="F38" s="2">
        <v>33.4</v>
      </c>
      <c r="G38" s="2">
        <v>30.7</v>
      </c>
    </row>
    <row r="39" ht="15.75" customHeight="1">
      <c r="A39" s="2">
        <v>2015.0</v>
      </c>
      <c r="B39" s="2" t="s">
        <v>12</v>
      </c>
      <c r="C39" s="3">
        <v>4757.0</v>
      </c>
      <c r="D39" s="3">
        <v>576557.0</v>
      </c>
      <c r="E39" s="2">
        <v>8.3</v>
      </c>
      <c r="F39" s="2">
        <v>32.4</v>
      </c>
      <c r="G39" s="2">
        <v>29.6</v>
      </c>
    </row>
    <row r="40" ht="15.75" customHeight="1">
      <c r="A40" s="2">
        <v>2015.0</v>
      </c>
      <c r="B40" s="2" t="s">
        <v>13</v>
      </c>
      <c r="C40" s="3">
        <v>3805.0</v>
      </c>
      <c r="D40" s="3">
        <v>402682.0</v>
      </c>
      <c r="E40" s="2">
        <v>9.5</v>
      </c>
      <c r="F40" s="2">
        <v>33.0</v>
      </c>
      <c r="G40" s="2">
        <v>29.1</v>
      </c>
    </row>
    <row r="41" ht="15.75" customHeight="1">
      <c r="A41" s="2">
        <v>2015.0</v>
      </c>
      <c r="B41" s="2" t="s">
        <v>14</v>
      </c>
      <c r="C41" s="3">
        <v>6721.0</v>
      </c>
      <c r="D41" s="3">
        <v>772667.0</v>
      </c>
      <c r="E41" s="2">
        <v>8.7</v>
      </c>
      <c r="F41" s="2">
        <v>33.4</v>
      </c>
      <c r="G41" s="2">
        <v>30.6</v>
      </c>
    </row>
    <row r="42" ht="15.75" customHeight="1">
      <c r="A42" s="2">
        <v>2015.0</v>
      </c>
      <c r="B42" s="2" t="s">
        <v>15</v>
      </c>
      <c r="C42" s="3">
        <v>5971.0</v>
      </c>
      <c r="D42" s="3">
        <v>690211.0</v>
      </c>
      <c r="E42" s="2">
        <v>8.7</v>
      </c>
      <c r="F42" s="2">
        <v>33.1</v>
      </c>
      <c r="G42" s="2">
        <v>30.4</v>
      </c>
    </row>
    <row r="43" ht="15.75" customHeight="1">
      <c r="A43" s="2">
        <v>2015.0</v>
      </c>
      <c r="B43" s="2" t="s">
        <v>16</v>
      </c>
      <c r="C43" s="3">
        <v>1986.0</v>
      </c>
      <c r="D43" s="3">
        <v>207757.0</v>
      </c>
      <c r="E43" s="2">
        <v>9.6</v>
      </c>
      <c r="F43" s="2">
        <v>35.4</v>
      </c>
      <c r="G43" s="2">
        <v>31.7</v>
      </c>
    </row>
    <row r="44" ht="15.75" customHeight="1">
      <c r="A44" s="2">
        <v>2015.0</v>
      </c>
      <c r="B44" s="2" t="s">
        <v>17</v>
      </c>
      <c r="C44" s="3">
        <v>8783.0</v>
      </c>
      <c r="D44" s="3">
        <v>1054289.0</v>
      </c>
      <c r="E44" s="2">
        <v>8.3</v>
      </c>
      <c r="F44" s="2">
        <v>32.8</v>
      </c>
      <c r="G44" s="2">
        <v>30.3</v>
      </c>
    </row>
    <row r="45" ht="15.75" customHeight="1">
      <c r="A45" s="2">
        <v>2015.0</v>
      </c>
      <c r="B45" s="2" t="s">
        <v>18</v>
      </c>
      <c r="C45" s="3">
        <v>11758.0</v>
      </c>
      <c r="D45" s="3">
        <v>1380852.0</v>
      </c>
      <c r="E45" s="2">
        <v>8.5</v>
      </c>
      <c r="F45" s="2">
        <v>35.2</v>
      </c>
      <c r="G45" s="2">
        <v>32.1</v>
      </c>
    </row>
    <row r="46" ht="15.75" customHeight="1">
      <c r="A46" s="2">
        <v>2015.0</v>
      </c>
      <c r="B46" s="2" t="s">
        <v>19</v>
      </c>
      <c r="C46" s="3">
        <v>10450.0</v>
      </c>
      <c r="D46" s="3">
        <v>1241452.0</v>
      </c>
      <c r="E46" s="2">
        <v>8.4</v>
      </c>
      <c r="F46" s="2">
        <v>33.1</v>
      </c>
      <c r="G46" s="2">
        <v>30.4</v>
      </c>
    </row>
    <row r="47" ht="15.75" customHeight="1">
      <c r="A47" s="2">
        <v>2015.0</v>
      </c>
      <c r="B47" s="2" t="s">
        <v>20</v>
      </c>
      <c r="C47" s="3">
        <v>18141.0</v>
      </c>
      <c r="D47" s="3">
        <v>1883731.0</v>
      </c>
      <c r="E47" s="2">
        <v>9.6</v>
      </c>
      <c r="F47" s="2">
        <v>33.1</v>
      </c>
      <c r="G47" s="2">
        <v>30.2</v>
      </c>
    </row>
    <row r="48" ht="15.75" customHeight="1">
      <c r="A48" s="2">
        <v>2015.0</v>
      </c>
      <c r="B48" s="2" t="s">
        <v>21</v>
      </c>
      <c r="C48" s="3">
        <v>18885.0</v>
      </c>
      <c r="D48" s="3">
        <v>1936062.0</v>
      </c>
      <c r="E48" s="2">
        <v>9.8</v>
      </c>
      <c r="F48" s="2">
        <v>32.8</v>
      </c>
      <c r="G48" s="2">
        <v>30.1</v>
      </c>
    </row>
    <row r="49" ht="15.75" customHeight="1">
      <c r="A49" s="2">
        <v>2015.0</v>
      </c>
      <c r="B49" s="2" t="s">
        <v>22</v>
      </c>
      <c r="C49" s="3">
        <v>140645.0</v>
      </c>
      <c r="D49" s="3">
        <v>1.6135445E7</v>
      </c>
      <c r="E49" s="2">
        <v>8.7</v>
      </c>
      <c r="F49" s="2">
        <v>33.1</v>
      </c>
      <c r="G49" s="2">
        <v>30.5</v>
      </c>
    </row>
    <row r="50" ht="15.75" customHeight="1">
      <c r="A50" s="2">
        <v>2016.0</v>
      </c>
      <c r="B50" s="2" t="s">
        <v>7</v>
      </c>
      <c r="C50" s="3">
        <v>5184.0</v>
      </c>
      <c r="D50" s="3">
        <v>622044.0</v>
      </c>
      <c r="E50" s="2">
        <v>8.3</v>
      </c>
      <c r="F50" s="2">
        <v>34.1</v>
      </c>
      <c r="G50" s="2">
        <v>31.3</v>
      </c>
    </row>
    <row r="51" ht="15.75" customHeight="1">
      <c r="A51" s="2">
        <v>2016.0</v>
      </c>
      <c r="B51" s="2" t="s">
        <v>8</v>
      </c>
      <c r="C51" s="3">
        <v>3117.0</v>
      </c>
      <c r="D51" s="3">
        <v>349512.0</v>
      </c>
      <c r="E51" s="2">
        <v>8.9</v>
      </c>
      <c r="F51" s="2">
        <v>33.4</v>
      </c>
      <c r="G51" s="2">
        <v>30.7</v>
      </c>
    </row>
    <row r="52" ht="15.75" customHeight="1">
      <c r="A52" s="2">
        <v>2016.0</v>
      </c>
      <c r="B52" s="2" t="s">
        <v>9</v>
      </c>
      <c r="C52" s="3">
        <v>7883.0</v>
      </c>
      <c r="D52" s="3">
        <v>879912.0</v>
      </c>
      <c r="E52" s="2">
        <v>9.0</v>
      </c>
      <c r="F52" s="2">
        <v>33.6</v>
      </c>
      <c r="G52" s="2">
        <v>31.0</v>
      </c>
    </row>
    <row r="53" ht="15.75" customHeight="1">
      <c r="A53" s="2">
        <v>2016.0</v>
      </c>
      <c r="B53" s="2" t="s">
        <v>10</v>
      </c>
      <c r="C53" s="3">
        <v>47778.0</v>
      </c>
      <c r="D53" s="3">
        <v>5386264.0</v>
      </c>
      <c r="E53" s="2">
        <v>8.9</v>
      </c>
      <c r="F53" s="2">
        <v>33.1</v>
      </c>
      <c r="G53" s="2">
        <v>30.5</v>
      </c>
    </row>
    <row r="54" ht="15.75" customHeight="1">
      <c r="A54" s="2">
        <v>2016.0</v>
      </c>
      <c r="B54" s="2" t="s">
        <v>11</v>
      </c>
      <c r="C54" s="3">
        <v>7152.0</v>
      </c>
      <c r="D54" s="3">
        <v>807410.0</v>
      </c>
      <c r="E54" s="2">
        <v>8.9</v>
      </c>
      <c r="F54" s="2">
        <v>33.8</v>
      </c>
      <c r="G54" s="2">
        <v>31.2</v>
      </c>
    </row>
    <row r="55" ht="15.75" customHeight="1">
      <c r="A55" s="2">
        <v>2016.0</v>
      </c>
      <c r="B55" s="2" t="s">
        <v>12</v>
      </c>
      <c r="C55" s="3">
        <v>4619.0</v>
      </c>
      <c r="D55" s="3">
        <v>581847.0</v>
      </c>
      <c r="E55" s="2">
        <v>7.9</v>
      </c>
      <c r="F55" s="2">
        <v>32.8</v>
      </c>
      <c r="G55" s="2">
        <v>30.2</v>
      </c>
    </row>
    <row r="56" ht="15.75" customHeight="1">
      <c r="A56" s="2">
        <v>2016.0</v>
      </c>
      <c r="B56" s="2" t="s">
        <v>13</v>
      </c>
      <c r="C56" s="3">
        <v>3554.0</v>
      </c>
      <c r="D56" s="3">
        <v>405987.0</v>
      </c>
      <c r="E56" s="2">
        <v>8.8</v>
      </c>
      <c r="F56" s="2">
        <v>33.3</v>
      </c>
      <c r="G56" s="2">
        <v>29.7</v>
      </c>
    </row>
    <row r="57" ht="15.75" customHeight="1">
      <c r="A57" s="2">
        <v>2016.0</v>
      </c>
      <c r="B57" s="2" t="s">
        <v>14</v>
      </c>
      <c r="C57" s="3">
        <v>6588.0</v>
      </c>
      <c r="D57" s="3">
        <v>777634.0</v>
      </c>
      <c r="E57" s="2">
        <v>8.5</v>
      </c>
      <c r="F57" s="2">
        <v>33.8</v>
      </c>
      <c r="G57" s="2">
        <v>31.0</v>
      </c>
    </row>
    <row r="58" ht="15.75" customHeight="1">
      <c r="A58" s="2">
        <v>2016.0</v>
      </c>
      <c r="B58" s="2" t="s">
        <v>15</v>
      </c>
      <c r="C58" s="3">
        <v>5870.0</v>
      </c>
      <c r="D58" s="3">
        <v>694607.0</v>
      </c>
      <c r="E58" s="2">
        <v>8.5</v>
      </c>
      <c r="F58" s="2">
        <v>33.9</v>
      </c>
      <c r="G58" s="2">
        <v>31.2</v>
      </c>
    </row>
    <row r="59" ht="15.75" customHeight="1">
      <c r="A59" s="2">
        <v>2016.0</v>
      </c>
      <c r="B59" s="2" t="s">
        <v>16</v>
      </c>
      <c r="C59" s="3">
        <v>1963.0</v>
      </c>
      <c r="D59" s="3">
        <v>209659.0</v>
      </c>
      <c r="E59" s="2">
        <v>9.4</v>
      </c>
      <c r="F59" s="2">
        <v>35.6</v>
      </c>
      <c r="G59" s="2">
        <v>31.6</v>
      </c>
    </row>
    <row r="60" ht="15.75" customHeight="1">
      <c r="A60" s="2">
        <v>2016.0</v>
      </c>
      <c r="B60" s="2" t="s">
        <v>17</v>
      </c>
      <c r="C60" s="3">
        <v>8457.0</v>
      </c>
      <c r="D60" s="3">
        <v>1067715.0</v>
      </c>
      <c r="E60" s="2">
        <v>7.9</v>
      </c>
      <c r="F60" s="2">
        <v>33.2</v>
      </c>
      <c r="G60" s="2">
        <v>30.6</v>
      </c>
    </row>
    <row r="61" ht="15.75" customHeight="1">
      <c r="A61" s="2">
        <v>2016.0</v>
      </c>
      <c r="B61" s="2" t="s">
        <v>18</v>
      </c>
      <c r="C61" s="3">
        <v>11525.0</v>
      </c>
      <c r="D61" s="3">
        <v>1397188.0</v>
      </c>
      <c r="E61" s="2">
        <v>8.3</v>
      </c>
      <c r="F61" s="2">
        <v>35.2</v>
      </c>
      <c r="G61" s="2">
        <v>32.2</v>
      </c>
    </row>
    <row r="62" ht="15.75" customHeight="1">
      <c r="A62" s="2">
        <v>2016.0</v>
      </c>
      <c r="B62" s="2" t="s">
        <v>19</v>
      </c>
      <c r="C62" s="3">
        <v>10546.0</v>
      </c>
      <c r="D62" s="3">
        <v>1255968.0</v>
      </c>
      <c r="E62" s="2">
        <v>8.4</v>
      </c>
      <c r="F62" s="2">
        <v>33.6</v>
      </c>
      <c r="G62" s="2">
        <v>31.1</v>
      </c>
    </row>
    <row r="63" ht="15.75" customHeight="1">
      <c r="A63" s="2">
        <v>2016.0</v>
      </c>
      <c r="B63" s="2" t="s">
        <v>20</v>
      </c>
      <c r="C63" s="3">
        <v>18634.0</v>
      </c>
      <c r="D63" s="3">
        <v>1908089.0</v>
      </c>
      <c r="E63" s="2">
        <v>9.8</v>
      </c>
      <c r="F63" s="2">
        <v>33.3</v>
      </c>
      <c r="G63" s="2">
        <v>30.4</v>
      </c>
    </row>
    <row r="64" ht="15.75" customHeight="1">
      <c r="A64" s="2">
        <v>2016.0</v>
      </c>
      <c r="B64" s="2" t="s">
        <v>21</v>
      </c>
      <c r="C64" s="3">
        <v>18962.0</v>
      </c>
      <c r="D64" s="3">
        <v>1967737.0</v>
      </c>
      <c r="E64" s="2">
        <v>9.6</v>
      </c>
      <c r="F64" s="2">
        <v>33.3</v>
      </c>
      <c r="G64" s="2">
        <v>30.5</v>
      </c>
    </row>
    <row r="65" ht="15.75" customHeight="1">
      <c r="A65" s="2">
        <v>2016.0</v>
      </c>
      <c r="B65" s="2" t="s">
        <v>22</v>
      </c>
      <c r="C65" s="3">
        <v>134714.0</v>
      </c>
      <c r="D65" s="3">
        <v>1.6287985E7</v>
      </c>
      <c r="E65" s="2">
        <v>8.3</v>
      </c>
      <c r="F65" s="2">
        <v>33.5</v>
      </c>
      <c r="G65" s="2">
        <v>30.9</v>
      </c>
    </row>
    <row r="66" ht="15.75" customHeight="1">
      <c r="A66" s="2">
        <v>2017.0</v>
      </c>
      <c r="B66" s="2" t="s">
        <v>7</v>
      </c>
      <c r="C66" s="3">
        <v>4997.0</v>
      </c>
      <c r="D66" s="3">
        <v>626553.0</v>
      </c>
      <c r="E66" s="2">
        <v>8.0</v>
      </c>
      <c r="F66" s="2">
        <v>34.6</v>
      </c>
      <c r="G66" s="2">
        <v>31.8</v>
      </c>
    </row>
    <row r="67" ht="15.75" customHeight="1">
      <c r="A67" s="2">
        <v>2017.0</v>
      </c>
      <c r="B67" s="2" t="s">
        <v>8</v>
      </c>
      <c r="C67" s="3">
        <v>3040.0</v>
      </c>
      <c r="D67" s="3">
        <v>351903.0</v>
      </c>
      <c r="E67" s="2">
        <v>8.6</v>
      </c>
      <c r="F67" s="2">
        <v>34.0</v>
      </c>
      <c r="G67" s="2">
        <v>31.2</v>
      </c>
    </row>
    <row r="68" ht="15.75" customHeight="1">
      <c r="A68" s="2">
        <v>2017.0</v>
      </c>
      <c r="B68" s="2" t="s">
        <v>9</v>
      </c>
      <c r="C68" s="3">
        <v>7594.0</v>
      </c>
      <c r="D68" s="3">
        <v>886883.0</v>
      </c>
      <c r="E68" s="2">
        <v>8.6</v>
      </c>
      <c r="F68" s="2">
        <v>33.8</v>
      </c>
      <c r="G68" s="2">
        <v>31.3</v>
      </c>
    </row>
    <row r="69" ht="15.75" customHeight="1">
      <c r="A69" s="2">
        <v>2017.0</v>
      </c>
      <c r="B69" s="2" t="s">
        <v>10</v>
      </c>
      <c r="C69" s="3">
        <v>47911.0</v>
      </c>
      <c r="D69" s="3">
        <v>5458041.0</v>
      </c>
      <c r="E69" s="2">
        <v>8.8</v>
      </c>
      <c r="F69" s="2">
        <v>33.5</v>
      </c>
      <c r="G69" s="2">
        <v>30.9</v>
      </c>
    </row>
    <row r="70" ht="15.75" customHeight="1">
      <c r="A70" s="2">
        <v>2017.0</v>
      </c>
      <c r="B70" s="2" t="s">
        <v>11</v>
      </c>
      <c r="C70" s="3">
        <v>7067.0</v>
      </c>
      <c r="D70" s="3">
        <v>814832.0</v>
      </c>
      <c r="E70" s="2">
        <v>8.7</v>
      </c>
      <c r="F70" s="2">
        <v>34.1</v>
      </c>
      <c r="G70" s="2">
        <v>31.6</v>
      </c>
    </row>
    <row r="71" ht="15.75" customHeight="1">
      <c r="A71" s="2">
        <v>2017.0</v>
      </c>
      <c r="B71" s="2" t="s">
        <v>12</v>
      </c>
      <c r="C71" s="3">
        <v>4502.0</v>
      </c>
      <c r="D71" s="3">
        <v>586957.0</v>
      </c>
      <c r="E71" s="2">
        <v>7.7</v>
      </c>
      <c r="F71" s="2">
        <v>32.8</v>
      </c>
      <c r="G71" s="2">
        <v>30.4</v>
      </c>
    </row>
    <row r="72" ht="15.75" customHeight="1">
      <c r="A72" s="2">
        <v>2017.0</v>
      </c>
      <c r="B72" s="2" t="s">
        <v>13</v>
      </c>
      <c r="C72" s="3">
        <v>3520.0</v>
      </c>
      <c r="D72" s="3">
        <v>409211.0</v>
      </c>
      <c r="E72" s="2">
        <v>8.6</v>
      </c>
      <c r="F72" s="2">
        <v>33.5</v>
      </c>
      <c r="G72" s="2">
        <v>30.0</v>
      </c>
    </row>
    <row r="73" ht="15.75" customHeight="1">
      <c r="A73" s="2">
        <v>2017.0</v>
      </c>
      <c r="B73" s="2" t="s">
        <v>14</v>
      </c>
      <c r="C73" s="3">
        <v>6422.0</v>
      </c>
      <c r="D73" s="3">
        <v>782547.0</v>
      </c>
      <c r="E73" s="2">
        <v>8.2</v>
      </c>
      <c r="F73" s="2">
        <v>34.2</v>
      </c>
      <c r="G73" s="2">
        <v>31.4</v>
      </c>
    </row>
    <row r="74" ht="15.75" customHeight="1">
      <c r="A74" s="2">
        <v>2017.0</v>
      </c>
      <c r="B74" s="2" t="s">
        <v>15</v>
      </c>
      <c r="C74" s="3">
        <v>5552.0</v>
      </c>
      <c r="D74" s="3">
        <v>698954.0</v>
      </c>
      <c r="E74" s="2">
        <v>7.9</v>
      </c>
      <c r="F74" s="2">
        <v>34.3</v>
      </c>
      <c r="G74" s="2">
        <v>31.5</v>
      </c>
    </row>
    <row r="75" ht="15.75" customHeight="1">
      <c r="A75" s="2">
        <v>2017.0</v>
      </c>
      <c r="B75" s="2" t="s">
        <v>16</v>
      </c>
      <c r="C75" s="3">
        <v>1916.0</v>
      </c>
      <c r="D75" s="3">
        <v>211476.0</v>
      </c>
      <c r="E75" s="2">
        <v>9.1</v>
      </c>
      <c r="F75" s="2">
        <v>36.0</v>
      </c>
      <c r="G75" s="2">
        <v>32.3</v>
      </c>
    </row>
    <row r="76" ht="15.75" customHeight="1">
      <c r="A76" s="2">
        <v>2017.0</v>
      </c>
      <c r="B76" s="2" t="s">
        <v>17</v>
      </c>
      <c r="C76" s="3">
        <v>8050.0</v>
      </c>
      <c r="D76" s="3">
        <v>1080579.0</v>
      </c>
      <c r="E76" s="2">
        <v>7.5</v>
      </c>
      <c r="F76" s="2">
        <v>33.7</v>
      </c>
      <c r="G76" s="2">
        <v>31.1</v>
      </c>
    </row>
    <row r="77" ht="15.75" customHeight="1">
      <c r="A77" s="2">
        <v>2017.0</v>
      </c>
      <c r="B77" s="2" t="s">
        <v>18</v>
      </c>
      <c r="C77" s="3">
        <v>11251.0</v>
      </c>
      <c r="D77" s="3">
        <v>1413155.0</v>
      </c>
      <c r="E77" s="2">
        <v>8.0</v>
      </c>
      <c r="F77" s="2">
        <v>35.8</v>
      </c>
      <c r="G77" s="2">
        <v>32.9</v>
      </c>
    </row>
    <row r="78" ht="15.75" customHeight="1">
      <c r="A78" s="2">
        <v>2017.0</v>
      </c>
      <c r="B78" s="2" t="s">
        <v>19</v>
      </c>
      <c r="C78" s="3">
        <v>10120.0</v>
      </c>
      <c r="D78" s="3">
        <v>1270114.0</v>
      </c>
      <c r="E78" s="2">
        <v>8.0</v>
      </c>
      <c r="F78" s="2">
        <v>34.2</v>
      </c>
      <c r="G78" s="2">
        <v>31.5</v>
      </c>
    </row>
    <row r="79" ht="15.75" customHeight="1">
      <c r="A79" s="2">
        <v>2017.0</v>
      </c>
      <c r="B79" s="2" t="s">
        <v>20</v>
      </c>
      <c r="C79" s="3">
        <v>17960.0</v>
      </c>
      <c r="D79" s="3">
        <v>1932285.0</v>
      </c>
      <c r="E79" s="2">
        <v>9.3</v>
      </c>
      <c r="F79" s="2">
        <v>33.8</v>
      </c>
      <c r="G79" s="2">
        <v>31.0</v>
      </c>
    </row>
    <row r="80" ht="15.75" customHeight="1">
      <c r="A80" s="2">
        <v>2017.0</v>
      </c>
      <c r="B80" s="2" t="s">
        <v>21</v>
      </c>
      <c r="C80" s="3">
        <v>18553.0</v>
      </c>
      <c r="D80" s="3">
        <v>1999071.0</v>
      </c>
      <c r="E80" s="2">
        <v>9.3</v>
      </c>
      <c r="F80" s="2">
        <v>33.8</v>
      </c>
      <c r="G80" s="2">
        <v>31.0</v>
      </c>
    </row>
    <row r="81" ht="15.75" customHeight="1">
      <c r="A81" s="2">
        <v>2017.0</v>
      </c>
      <c r="B81" s="2" t="s">
        <v>22</v>
      </c>
      <c r="C81" s="3">
        <v>133488.0</v>
      </c>
      <c r="D81" s="3">
        <v>1.6434757E7</v>
      </c>
      <c r="E81" s="2">
        <v>8.1</v>
      </c>
      <c r="F81" s="2">
        <v>33.9</v>
      </c>
      <c r="G81" s="2">
        <v>31.4</v>
      </c>
    </row>
    <row r="82" ht="15.75" customHeight="1">
      <c r="A82" s="2">
        <v>2018.0</v>
      </c>
      <c r="B82" s="2" t="s">
        <v>7</v>
      </c>
      <c r="C82" s="3">
        <v>4820.0</v>
      </c>
      <c r="D82" s="3">
        <v>631115.0</v>
      </c>
      <c r="E82" s="2">
        <v>7.6</v>
      </c>
      <c r="F82" s="2">
        <v>34.7</v>
      </c>
      <c r="G82" s="2">
        <v>32.1</v>
      </c>
    </row>
    <row r="83" ht="15.75" customHeight="1">
      <c r="A83" s="2">
        <v>2018.0</v>
      </c>
      <c r="B83" s="2" t="s">
        <v>8</v>
      </c>
      <c r="C83" s="3">
        <v>2839.0</v>
      </c>
      <c r="D83" s="3">
        <v>354524.0</v>
      </c>
      <c r="E83" s="2">
        <v>8.0</v>
      </c>
      <c r="F83" s="2">
        <v>34.0</v>
      </c>
      <c r="G83" s="2">
        <v>31.4</v>
      </c>
    </row>
    <row r="84" ht="15.75" customHeight="1">
      <c r="A84" s="2">
        <v>2018.0</v>
      </c>
      <c r="B84" s="2" t="s">
        <v>9</v>
      </c>
      <c r="C84" s="3">
        <v>7317.0</v>
      </c>
      <c r="D84" s="3">
        <v>893989.0</v>
      </c>
      <c r="E84" s="2">
        <v>8.2</v>
      </c>
      <c r="F84" s="2">
        <v>34.1</v>
      </c>
      <c r="G84" s="2">
        <v>31.6</v>
      </c>
    </row>
    <row r="85" ht="15.75" customHeight="1">
      <c r="A85" s="2">
        <v>2018.0</v>
      </c>
      <c r="B85" s="2" t="s">
        <v>10</v>
      </c>
      <c r="C85" s="3">
        <v>46154.0</v>
      </c>
      <c r="D85" s="3">
        <v>5531027.0</v>
      </c>
      <c r="E85" s="2">
        <v>8.3</v>
      </c>
      <c r="F85" s="2">
        <v>33.9</v>
      </c>
      <c r="G85" s="2">
        <v>31.3</v>
      </c>
    </row>
    <row r="86" ht="15.75" customHeight="1">
      <c r="A86" s="2">
        <v>2018.0</v>
      </c>
      <c r="B86" s="2" t="s">
        <v>11</v>
      </c>
      <c r="C86" s="3">
        <v>6644.0</v>
      </c>
      <c r="D86" s="3">
        <v>822385.0</v>
      </c>
      <c r="E86" s="2">
        <v>8.1</v>
      </c>
      <c r="F86" s="2">
        <v>34.4</v>
      </c>
      <c r="G86" s="2">
        <v>31.9</v>
      </c>
    </row>
    <row r="87" ht="15.75" customHeight="1">
      <c r="A87" s="2">
        <v>2018.0</v>
      </c>
      <c r="B87" s="2" t="s">
        <v>12</v>
      </c>
      <c r="C87" s="3">
        <v>4380.0</v>
      </c>
      <c r="D87" s="3">
        <v>592143.0</v>
      </c>
      <c r="E87" s="2">
        <v>7.4</v>
      </c>
      <c r="F87" s="2">
        <v>33.3</v>
      </c>
      <c r="G87" s="2">
        <v>30.7</v>
      </c>
    </row>
    <row r="88" ht="15.75" customHeight="1">
      <c r="A88" s="2">
        <v>2018.0</v>
      </c>
      <c r="B88" s="2" t="s">
        <v>13</v>
      </c>
      <c r="C88" s="3">
        <v>3439.0</v>
      </c>
      <c r="D88" s="3">
        <v>412450.0</v>
      </c>
      <c r="E88" s="2">
        <v>8.3</v>
      </c>
      <c r="F88" s="2">
        <v>33.4</v>
      </c>
      <c r="G88" s="2">
        <v>30.2</v>
      </c>
    </row>
    <row r="89" ht="15.75" customHeight="1">
      <c r="A89" s="2">
        <v>2018.0</v>
      </c>
      <c r="B89" s="2" t="s">
        <v>14</v>
      </c>
      <c r="C89" s="3">
        <v>6369.0</v>
      </c>
      <c r="D89" s="3">
        <v>787684.0</v>
      </c>
      <c r="E89" s="2">
        <v>8.1</v>
      </c>
      <c r="F89" s="2">
        <v>34.6</v>
      </c>
      <c r="G89" s="2">
        <v>31.8</v>
      </c>
    </row>
    <row r="90" ht="15.75" customHeight="1">
      <c r="A90" s="2">
        <v>2018.0</v>
      </c>
      <c r="B90" s="2" t="s">
        <v>15</v>
      </c>
      <c r="C90" s="3">
        <v>5209.0</v>
      </c>
      <c r="D90" s="3">
        <v>703459.0</v>
      </c>
      <c r="E90" s="2">
        <v>7.4</v>
      </c>
      <c r="F90" s="2">
        <v>35.0</v>
      </c>
      <c r="G90" s="2">
        <v>32.0</v>
      </c>
    </row>
    <row r="91" ht="15.75" customHeight="1">
      <c r="A91" s="2">
        <v>2018.0</v>
      </c>
      <c r="B91" s="2" t="s">
        <v>16</v>
      </c>
      <c r="C91" s="3">
        <v>2042.0</v>
      </c>
      <c r="D91" s="3">
        <v>213304.0</v>
      </c>
      <c r="E91" s="2">
        <v>9.6</v>
      </c>
      <c r="F91" s="2">
        <v>36.2</v>
      </c>
      <c r="G91" s="2">
        <v>32.4</v>
      </c>
    </row>
    <row r="92" ht="15.75" customHeight="1">
      <c r="A92" s="2">
        <v>2018.0</v>
      </c>
      <c r="B92" s="2" t="s">
        <v>17</v>
      </c>
      <c r="C92" s="3">
        <v>8242.0</v>
      </c>
      <c r="D92" s="3">
        <v>1093794.0</v>
      </c>
      <c r="E92" s="2">
        <v>7.5</v>
      </c>
      <c r="F92" s="2">
        <v>34.3</v>
      </c>
      <c r="G92" s="2">
        <v>31.8</v>
      </c>
    </row>
    <row r="93" ht="15.75" customHeight="1">
      <c r="A93" s="2">
        <v>2018.0</v>
      </c>
      <c r="B93" s="2" t="s">
        <v>18</v>
      </c>
      <c r="C93" s="3">
        <v>10809.0</v>
      </c>
      <c r="D93" s="3">
        <v>1429127.0</v>
      </c>
      <c r="E93" s="2">
        <v>7.6</v>
      </c>
      <c r="F93" s="2">
        <v>36.1</v>
      </c>
      <c r="G93" s="2">
        <v>33.2</v>
      </c>
    </row>
    <row r="94" ht="15.75" customHeight="1">
      <c r="A94" s="2">
        <v>2018.0</v>
      </c>
      <c r="B94" s="2" t="s">
        <v>19</v>
      </c>
      <c r="C94" s="3">
        <v>9723.0</v>
      </c>
      <c r="D94" s="3">
        <v>1284438.0</v>
      </c>
      <c r="E94" s="2">
        <v>7.6</v>
      </c>
      <c r="F94" s="2">
        <v>34.4</v>
      </c>
      <c r="G94" s="2">
        <v>31.8</v>
      </c>
    </row>
    <row r="95" ht="15.75" customHeight="1">
      <c r="A95" s="2">
        <v>2018.0</v>
      </c>
      <c r="B95" s="2" t="s">
        <v>20</v>
      </c>
      <c r="C95" s="3">
        <v>17560.0</v>
      </c>
      <c r="D95" s="3">
        <v>1956890.0</v>
      </c>
      <c r="E95" s="2">
        <v>9.0</v>
      </c>
      <c r="F95" s="2">
        <v>34.2</v>
      </c>
      <c r="G95" s="2">
        <v>31.4</v>
      </c>
    </row>
    <row r="96" ht="15.75" customHeight="1">
      <c r="A96" s="2">
        <v>2018.0</v>
      </c>
      <c r="B96" s="2" t="s">
        <v>21</v>
      </c>
      <c r="C96" s="3">
        <v>18325.0</v>
      </c>
      <c r="D96" s="3">
        <v>2030874.0</v>
      </c>
      <c r="E96" s="2">
        <v>9.0</v>
      </c>
      <c r="F96" s="2">
        <v>33.8</v>
      </c>
      <c r="G96" s="2">
        <v>31.2</v>
      </c>
    </row>
    <row r="97" ht="15.75" customHeight="1">
      <c r="A97" s="2">
        <v>2018.0</v>
      </c>
      <c r="B97" s="2" t="s">
        <v>22</v>
      </c>
      <c r="C97" s="3">
        <v>126027.0</v>
      </c>
      <c r="D97" s="3">
        <v>1.6580656E7</v>
      </c>
      <c r="E97" s="2">
        <v>7.6</v>
      </c>
      <c r="F97" s="2">
        <v>34.2</v>
      </c>
      <c r="G97" s="2">
        <v>31.7</v>
      </c>
    </row>
    <row r="98" ht="15.75" customHeight="1">
      <c r="A98" s="2">
        <v>2019.0</v>
      </c>
      <c r="B98" s="2" t="s">
        <v>7</v>
      </c>
      <c r="C98" s="3">
        <v>4588.0</v>
      </c>
      <c r="D98" s="3">
        <v>635229.0</v>
      </c>
      <c r="E98" s="2">
        <v>7.2</v>
      </c>
      <c r="F98" s="2">
        <v>35.8</v>
      </c>
      <c r="G98" s="2">
        <v>32.9</v>
      </c>
    </row>
    <row r="99" ht="15.75" customHeight="1">
      <c r="A99" s="2">
        <v>2019.0</v>
      </c>
      <c r="B99" s="2" t="s">
        <v>8</v>
      </c>
      <c r="C99" s="3">
        <v>2606.0</v>
      </c>
      <c r="D99" s="3">
        <v>357002.0</v>
      </c>
      <c r="E99" s="2">
        <v>7.3</v>
      </c>
      <c r="F99" s="2">
        <v>34.5</v>
      </c>
      <c r="G99" s="2">
        <v>32.0</v>
      </c>
    </row>
    <row r="100" ht="15.75" customHeight="1">
      <c r="A100" s="2">
        <v>2019.0</v>
      </c>
      <c r="B100" s="2" t="s">
        <v>9</v>
      </c>
      <c r="C100" s="3">
        <v>7156.0</v>
      </c>
      <c r="D100" s="3">
        <v>900750.0</v>
      </c>
      <c r="E100" s="2">
        <v>7.9</v>
      </c>
      <c r="F100" s="2">
        <v>34.8</v>
      </c>
      <c r="G100" s="2">
        <v>32.2</v>
      </c>
    </row>
    <row r="101" ht="15.75" customHeight="1">
      <c r="A101" s="2">
        <v>2019.0</v>
      </c>
      <c r="B101" s="2" t="s">
        <v>10</v>
      </c>
      <c r="C101" s="3">
        <v>44258.0</v>
      </c>
      <c r="D101" s="3">
        <v>5602738.0</v>
      </c>
      <c r="E101" s="2">
        <v>7.9</v>
      </c>
      <c r="F101" s="2">
        <v>34.2</v>
      </c>
      <c r="G101" s="2">
        <v>31.7</v>
      </c>
    </row>
    <row r="102" ht="15.75" customHeight="1">
      <c r="A102" s="2">
        <v>2019.0</v>
      </c>
      <c r="B102" s="2" t="s">
        <v>11</v>
      </c>
      <c r="C102" s="3">
        <v>6001.0</v>
      </c>
      <c r="D102" s="3">
        <v>829645.0</v>
      </c>
      <c r="E102" s="2">
        <v>7.2</v>
      </c>
      <c r="F102" s="2">
        <v>34.9</v>
      </c>
      <c r="G102" s="2">
        <v>32.2</v>
      </c>
    </row>
    <row r="103" ht="15.75" customHeight="1">
      <c r="A103" s="2">
        <v>2019.0</v>
      </c>
      <c r="B103" s="2" t="s">
        <v>12</v>
      </c>
      <c r="C103" s="3">
        <v>4206.0</v>
      </c>
      <c r="D103" s="3">
        <v>597020.0</v>
      </c>
      <c r="E103" s="2">
        <v>7.0</v>
      </c>
      <c r="F103" s="2">
        <v>34.2</v>
      </c>
      <c r="G103" s="2">
        <v>31.5</v>
      </c>
    </row>
    <row r="104" ht="15.75" customHeight="1">
      <c r="A104" s="2">
        <v>2019.0</v>
      </c>
      <c r="B104" s="2" t="s">
        <v>13</v>
      </c>
      <c r="C104" s="3">
        <v>3374.0</v>
      </c>
      <c r="D104" s="3">
        <v>415628.0</v>
      </c>
      <c r="E104" s="2">
        <v>8.1</v>
      </c>
      <c r="F104" s="2">
        <v>34.4</v>
      </c>
      <c r="G104" s="2">
        <v>30.9</v>
      </c>
    </row>
    <row r="105" ht="15.75" customHeight="1">
      <c r="A105" s="2">
        <v>2019.0</v>
      </c>
      <c r="B105" s="2" t="s">
        <v>14</v>
      </c>
      <c r="C105" s="3">
        <v>6004.0</v>
      </c>
      <c r="D105" s="3">
        <v>792504.0</v>
      </c>
      <c r="E105" s="2">
        <v>7.6</v>
      </c>
      <c r="F105" s="2">
        <v>34.9</v>
      </c>
      <c r="G105" s="2">
        <v>32.1</v>
      </c>
    </row>
    <row r="106" ht="15.75" customHeight="1">
      <c r="A106" s="2">
        <v>2019.0</v>
      </c>
      <c r="B106" s="2" t="s">
        <v>15</v>
      </c>
      <c r="C106" s="3">
        <v>5017.0</v>
      </c>
      <c r="D106" s="3">
        <v>707596.0</v>
      </c>
      <c r="E106" s="2">
        <v>7.1</v>
      </c>
      <c r="F106" s="2">
        <v>35.3</v>
      </c>
      <c r="G106" s="2">
        <v>32.4</v>
      </c>
    </row>
    <row r="107" ht="15.75" customHeight="1">
      <c r="A107" s="2">
        <v>2019.0</v>
      </c>
      <c r="B107" s="2" t="s">
        <v>16</v>
      </c>
      <c r="C107" s="3">
        <v>1883.0</v>
      </c>
      <c r="D107" s="3">
        <v>215057.0</v>
      </c>
      <c r="E107" s="2">
        <v>8.8</v>
      </c>
      <c r="F107" s="2">
        <v>36.5</v>
      </c>
      <c r="G107" s="2">
        <v>32.8</v>
      </c>
    </row>
    <row r="108" ht="15.75" customHeight="1">
      <c r="A108" s="2">
        <v>2019.0</v>
      </c>
      <c r="B108" s="2" t="s">
        <v>17</v>
      </c>
      <c r="C108" s="3">
        <v>7976.0</v>
      </c>
      <c r="D108" s="3">
        <v>1106951.0</v>
      </c>
      <c r="E108" s="2">
        <v>7.2</v>
      </c>
      <c r="F108" s="2">
        <v>34.2</v>
      </c>
      <c r="G108" s="2">
        <v>31.6</v>
      </c>
    </row>
    <row r="109" ht="15.75" customHeight="1">
      <c r="A109" s="2">
        <v>2019.0</v>
      </c>
      <c r="B109" s="2" t="s">
        <v>18</v>
      </c>
      <c r="C109" s="3">
        <v>10412.0</v>
      </c>
      <c r="D109" s="3">
        <v>1444188.0</v>
      </c>
      <c r="E109" s="2">
        <v>7.2</v>
      </c>
      <c r="F109" s="2">
        <v>36.7</v>
      </c>
      <c r="G109" s="2">
        <v>33.7</v>
      </c>
    </row>
    <row r="110" ht="15.75" customHeight="1">
      <c r="A110" s="2">
        <v>2019.0</v>
      </c>
      <c r="B110" s="2" t="s">
        <v>19</v>
      </c>
      <c r="C110" s="3">
        <v>9547.0</v>
      </c>
      <c r="D110" s="3">
        <v>1298657.0</v>
      </c>
      <c r="E110" s="2">
        <v>7.4</v>
      </c>
      <c r="F110" s="2">
        <v>34.8</v>
      </c>
      <c r="G110" s="2">
        <v>32.3</v>
      </c>
    </row>
    <row r="111" ht="15.75" customHeight="1">
      <c r="A111" s="2">
        <v>2019.0</v>
      </c>
      <c r="B111" s="2" t="s">
        <v>20</v>
      </c>
      <c r="C111" s="3">
        <v>16804.0</v>
      </c>
      <c r="D111" s="3">
        <v>1980671.0</v>
      </c>
      <c r="E111" s="2">
        <v>8.5</v>
      </c>
      <c r="F111" s="2">
        <v>34.5</v>
      </c>
      <c r="G111" s="2">
        <v>31.7</v>
      </c>
    </row>
    <row r="112" ht="15.75" customHeight="1">
      <c r="A112" s="2">
        <v>2019.0</v>
      </c>
      <c r="B112" s="2" t="s">
        <v>21</v>
      </c>
      <c r="C112" s="3">
        <v>18075.0</v>
      </c>
      <c r="D112" s="3">
        <v>2062132.0</v>
      </c>
      <c r="E112" s="2">
        <v>8.8</v>
      </c>
      <c r="F112" s="2">
        <v>34.0</v>
      </c>
      <c r="G112" s="2">
        <v>31.4</v>
      </c>
    </row>
    <row r="113" ht="15.75" customHeight="1">
      <c r="A113" s="2">
        <v>2019.0</v>
      </c>
      <c r="B113" s="2" t="s">
        <v>22</v>
      </c>
      <c r="C113" s="3">
        <v>122014.0</v>
      </c>
      <c r="D113" s="3">
        <v>1.6718424E7</v>
      </c>
      <c r="E113" s="2">
        <v>7.3</v>
      </c>
      <c r="F113" s="2">
        <v>34.7</v>
      </c>
      <c r="G113" s="2">
        <v>32.2</v>
      </c>
    </row>
    <row r="114" ht="15.75" customHeight="1">
      <c r="A114" s="2">
        <v>2020.0</v>
      </c>
      <c r="B114" s="2" t="s">
        <v>7</v>
      </c>
      <c r="C114" s="3">
        <v>3382.0</v>
      </c>
      <c r="D114" s="3">
        <v>638605.0</v>
      </c>
      <c r="E114" s="2">
        <v>5.3</v>
      </c>
      <c r="F114" s="2">
        <v>36.0</v>
      </c>
      <c r="G114" s="2">
        <v>33.2</v>
      </c>
    </row>
    <row r="115" ht="15.75" customHeight="1">
      <c r="A115" s="2">
        <v>2020.0</v>
      </c>
      <c r="B115" s="2" t="s">
        <v>8</v>
      </c>
      <c r="C115" s="3">
        <v>2057.0</v>
      </c>
      <c r="D115" s="3">
        <v>359082.0</v>
      </c>
      <c r="E115" s="2">
        <v>5.7</v>
      </c>
      <c r="F115" s="2">
        <v>35.2</v>
      </c>
      <c r="G115" s="2">
        <v>32.6</v>
      </c>
    </row>
    <row r="116" ht="15.75" customHeight="1">
      <c r="A116" s="2">
        <v>2020.0</v>
      </c>
      <c r="B116" s="2" t="s">
        <v>9</v>
      </c>
      <c r="C116" s="3">
        <v>5281.0</v>
      </c>
      <c r="D116" s="3">
        <v>906741.0</v>
      </c>
      <c r="E116" s="2">
        <v>5.8</v>
      </c>
      <c r="F116" s="2">
        <v>35.0</v>
      </c>
      <c r="G116" s="2">
        <v>32.4</v>
      </c>
    </row>
    <row r="117" ht="15.75" customHeight="1">
      <c r="A117" s="2">
        <v>2020.0</v>
      </c>
      <c r="B117" s="2" t="s">
        <v>10</v>
      </c>
      <c r="C117" s="3">
        <v>32226.0</v>
      </c>
      <c r="D117" s="3">
        <v>5669008.0</v>
      </c>
      <c r="E117" s="2">
        <v>5.7</v>
      </c>
      <c r="F117" s="2">
        <v>34.5</v>
      </c>
      <c r="G117" s="2">
        <v>32.0</v>
      </c>
    </row>
    <row r="118" ht="15.75" customHeight="1">
      <c r="A118" s="2">
        <v>2020.0</v>
      </c>
      <c r="B118" s="2" t="s">
        <v>11</v>
      </c>
      <c r="C118" s="3">
        <v>4701.0</v>
      </c>
      <c r="D118" s="3">
        <v>836294.0</v>
      </c>
      <c r="E118" s="2">
        <v>5.6</v>
      </c>
      <c r="F118" s="2">
        <v>35.3</v>
      </c>
      <c r="G118" s="2">
        <v>32.8</v>
      </c>
    </row>
    <row r="119" ht="15.75" customHeight="1">
      <c r="A119" s="2">
        <v>2020.0</v>
      </c>
      <c r="B119" s="2" t="s">
        <v>12</v>
      </c>
      <c r="C119" s="3">
        <v>3049.0</v>
      </c>
      <c r="D119" s="3">
        <v>601284.0</v>
      </c>
      <c r="E119" s="2">
        <v>5.1</v>
      </c>
      <c r="F119" s="2">
        <v>33.9</v>
      </c>
      <c r="G119" s="2">
        <v>31.4</v>
      </c>
    </row>
    <row r="120" ht="15.75" customHeight="1">
      <c r="A120" s="2">
        <v>2020.0</v>
      </c>
      <c r="B120" s="2" t="s">
        <v>13</v>
      </c>
      <c r="C120" s="3">
        <v>2437.0</v>
      </c>
      <c r="D120" s="3">
        <v>418508.0</v>
      </c>
      <c r="E120" s="2">
        <v>5.8</v>
      </c>
      <c r="F120" s="2">
        <v>34.4</v>
      </c>
      <c r="G120" s="2">
        <v>30.9</v>
      </c>
    </row>
    <row r="121" ht="15.75" customHeight="1">
      <c r="A121" s="2">
        <v>2020.0</v>
      </c>
      <c r="B121" s="2" t="s">
        <v>14</v>
      </c>
      <c r="C121" s="3">
        <v>4519.0</v>
      </c>
      <c r="D121" s="3">
        <v>796656.0</v>
      </c>
      <c r="E121" s="2">
        <v>5.7</v>
      </c>
      <c r="F121" s="2">
        <v>35.4</v>
      </c>
      <c r="G121" s="2">
        <v>32.7</v>
      </c>
    </row>
    <row r="122" ht="15.75" customHeight="1">
      <c r="A122" s="2">
        <v>2020.0</v>
      </c>
      <c r="B122" s="2" t="s">
        <v>15</v>
      </c>
      <c r="C122" s="3">
        <v>3430.0</v>
      </c>
      <c r="D122" s="3">
        <v>711105.0</v>
      </c>
      <c r="E122" s="2">
        <v>4.8</v>
      </c>
      <c r="F122" s="2">
        <v>35.7</v>
      </c>
      <c r="G122" s="2">
        <v>32.9</v>
      </c>
    </row>
    <row r="123" ht="15.75" customHeight="1">
      <c r="A123" s="2">
        <v>2020.0</v>
      </c>
      <c r="B123" s="2" t="s">
        <v>16</v>
      </c>
      <c r="C123" s="3">
        <v>1363.0</v>
      </c>
      <c r="D123" s="3">
        <v>216513.0</v>
      </c>
      <c r="E123" s="2">
        <v>6.3</v>
      </c>
      <c r="F123" s="2">
        <v>36.6</v>
      </c>
      <c r="G123" s="2">
        <v>33.0</v>
      </c>
    </row>
    <row r="124" ht="15.75" customHeight="1">
      <c r="A124" s="2">
        <v>2020.0</v>
      </c>
      <c r="B124" s="2" t="s">
        <v>17</v>
      </c>
      <c r="C124" s="3">
        <v>5812.0</v>
      </c>
      <c r="D124" s="3">
        <v>1119023.0</v>
      </c>
      <c r="E124" s="2">
        <v>5.2</v>
      </c>
      <c r="F124" s="2">
        <v>34.8</v>
      </c>
      <c r="G124" s="2">
        <v>32.2</v>
      </c>
    </row>
    <row r="125" ht="15.75" customHeight="1">
      <c r="A125" s="2">
        <v>2020.0</v>
      </c>
      <c r="B125" s="2" t="s">
        <v>18</v>
      </c>
      <c r="C125" s="3">
        <v>7891.0</v>
      </c>
      <c r="D125" s="3">
        <v>1457420.0</v>
      </c>
      <c r="E125" s="2">
        <v>5.4</v>
      </c>
      <c r="F125" s="2">
        <v>36.6</v>
      </c>
      <c r="G125" s="2">
        <v>33.7</v>
      </c>
    </row>
    <row r="126" ht="15.75" customHeight="1">
      <c r="A126" s="2">
        <v>2020.0</v>
      </c>
      <c r="B126" s="2" t="s">
        <v>19</v>
      </c>
      <c r="C126" s="3">
        <v>6827.0</v>
      </c>
      <c r="D126" s="3">
        <v>1311579.0</v>
      </c>
      <c r="E126" s="2">
        <v>5.2</v>
      </c>
      <c r="F126" s="2">
        <v>35.4</v>
      </c>
      <c r="G126" s="2">
        <v>32.8</v>
      </c>
    </row>
    <row r="127" ht="15.75" customHeight="1">
      <c r="A127" s="2">
        <v>2020.0</v>
      </c>
      <c r="B127" s="2" t="s">
        <v>20</v>
      </c>
      <c r="C127" s="3">
        <v>12545.0</v>
      </c>
      <c r="D127" s="3">
        <v>2002796.0</v>
      </c>
      <c r="E127" s="2">
        <v>6.3</v>
      </c>
      <c r="F127" s="2">
        <v>34.4</v>
      </c>
      <c r="G127" s="2">
        <v>31.7</v>
      </c>
    </row>
    <row r="128" ht="15.75" customHeight="1">
      <c r="A128" s="2">
        <v>2020.0</v>
      </c>
      <c r="B128" s="2" t="s">
        <v>21</v>
      </c>
      <c r="C128" s="3">
        <v>13342.0</v>
      </c>
      <c r="D128" s="3">
        <v>2091970.0</v>
      </c>
      <c r="E128" s="2">
        <v>6.4</v>
      </c>
      <c r="F128" s="2">
        <v>34.5</v>
      </c>
      <c r="G128" s="2">
        <v>31.8</v>
      </c>
    </row>
    <row r="129" ht="15.75" customHeight="1">
      <c r="A129" s="2">
        <v>2020.0</v>
      </c>
      <c r="B129" s="2" t="s">
        <v>22</v>
      </c>
      <c r="C129" s="3">
        <v>87896.0</v>
      </c>
      <c r="D129" s="3">
        <v>1.6833062E7</v>
      </c>
      <c r="E129" s="2">
        <v>5.2</v>
      </c>
      <c r="F129" s="2">
        <v>34.7</v>
      </c>
      <c r="G129" s="2">
        <v>32.3</v>
      </c>
    </row>
    <row r="130" ht="15.75" customHeight="1">
      <c r="A130" s="2">
        <v>2021.0</v>
      </c>
      <c r="B130" s="2" t="s">
        <v>7</v>
      </c>
      <c r="C130" s="3">
        <v>3776.0</v>
      </c>
      <c r="D130" s="3">
        <v>640532.0</v>
      </c>
      <c r="E130" s="2">
        <v>5.9</v>
      </c>
      <c r="F130" s="2">
        <v>35.7</v>
      </c>
      <c r="G130" s="2">
        <v>33.3</v>
      </c>
    </row>
    <row r="131" ht="15.75" customHeight="1">
      <c r="A131" s="2">
        <v>2021.0</v>
      </c>
      <c r="B131" s="2" t="s">
        <v>8</v>
      </c>
      <c r="C131" s="3">
        <v>2235.0</v>
      </c>
      <c r="D131" s="3">
        <v>360361.0</v>
      </c>
      <c r="E131" s="2">
        <v>6.2</v>
      </c>
      <c r="F131" s="2">
        <v>35.4</v>
      </c>
      <c r="G131" s="2">
        <v>32.7</v>
      </c>
    </row>
    <row r="132" ht="15.75" customHeight="1">
      <c r="A132" s="2">
        <v>2021.0</v>
      </c>
      <c r="B132" s="2" t="s">
        <v>9</v>
      </c>
      <c r="C132" s="3">
        <v>6093.0</v>
      </c>
      <c r="D132" s="3">
        <v>911098.0</v>
      </c>
      <c r="E132" s="2">
        <v>6.7</v>
      </c>
      <c r="F132" s="2">
        <v>35.3</v>
      </c>
      <c r="G132" s="2">
        <v>32.9</v>
      </c>
    </row>
    <row r="133" ht="15.75" customHeight="1">
      <c r="A133" s="2">
        <v>2021.0</v>
      </c>
      <c r="B133" s="2" t="s">
        <v>10</v>
      </c>
      <c r="C133" s="3">
        <v>38540.0</v>
      </c>
      <c r="D133" s="3">
        <v>5724287.0</v>
      </c>
      <c r="E133" s="2">
        <v>6.7</v>
      </c>
      <c r="F133" s="2">
        <v>34.4</v>
      </c>
      <c r="G133" s="2">
        <v>32.1</v>
      </c>
    </row>
    <row r="134" ht="15.75" customHeight="1">
      <c r="A134" s="2">
        <v>2021.0</v>
      </c>
      <c r="B134" s="2" t="s">
        <v>11</v>
      </c>
      <c r="C134" s="3">
        <v>5250.0</v>
      </c>
      <c r="D134" s="3">
        <v>841469.0</v>
      </c>
      <c r="E134" s="2">
        <v>6.2</v>
      </c>
      <c r="F134" s="2">
        <v>34.9</v>
      </c>
      <c r="G134" s="2">
        <v>32.5</v>
      </c>
    </row>
    <row r="135" ht="15.75" customHeight="1">
      <c r="A135" s="2">
        <v>2021.0</v>
      </c>
      <c r="B135" s="2" t="s">
        <v>12</v>
      </c>
      <c r="C135" s="3">
        <v>3767.0</v>
      </c>
      <c r="D135" s="3">
        <v>604398.0</v>
      </c>
      <c r="E135" s="2">
        <v>6.2</v>
      </c>
      <c r="F135" s="2">
        <v>34.2</v>
      </c>
      <c r="G135" s="2">
        <v>31.5</v>
      </c>
    </row>
    <row r="136" ht="15.75" customHeight="1">
      <c r="A136" s="2">
        <v>2021.0</v>
      </c>
      <c r="B136" s="2" t="s">
        <v>13</v>
      </c>
      <c r="C136" s="3">
        <v>2861.0</v>
      </c>
      <c r="D136" s="3">
        <v>420258.0</v>
      </c>
      <c r="E136" s="2">
        <v>6.8</v>
      </c>
      <c r="F136" s="2">
        <v>35.0</v>
      </c>
      <c r="G136" s="2">
        <v>31.8</v>
      </c>
    </row>
    <row r="137" ht="15.75" customHeight="1">
      <c r="A137" s="2">
        <v>2021.0</v>
      </c>
      <c r="B137" s="2" t="s">
        <v>14</v>
      </c>
      <c r="C137" s="3">
        <v>5235.0</v>
      </c>
      <c r="D137" s="3">
        <v>798773.0</v>
      </c>
      <c r="E137" s="2">
        <v>6.6</v>
      </c>
      <c r="F137" s="2">
        <v>35.2</v>
      </c>
      <c r="G137" s="2">
        <v>32.5</v>
      </c>
    </row>
    <row r="138" ht="15.75" customHeight="1">
      <c r="A138" s="2">
        <v>2021.0</v>
      </c>
      <c r="B138" s="2" t="s">
        <v>15</v>
      </c>
      <c r="C138" s="3">
        <v>4247.0</v>
      </c>
      <c r="D138" s="3">
        <v>713129.0</v>
      </c>
      <c r="E138" s="2">
        <v>6.0</v>
      </c>
      <c r="F138" s="2">
        <v>35.6</v>
      </c>
      <c r="G138" s="2">
        <v>32.8</v>
      </c>
    </row>
    <row r="139" ht="15.75" customHeight="1">
      <c r="A139" s="2">
        <v>2021.0</v>
      </c>
      <c r="B139" s="2" t="s">
        <v>16</v>
      </c>
      <c r="C139" s="3">
        <v>1577.0</v>
      </c>
      <c r="D139" s="3">
        <v>217552.0</v>
      </c>
      <c r="E139" s="2">
        <v>7.3</v>
      </c>
      <c r="F139" s="2">
        <v>36.9</v>
      </c>
      <c r="G139" s="2">
        <v>33.3</v>
      </c>
    </row>
    <row r="140" ht="15.75" customHeight="1">
      <c r="A140" s="2">
        <v>2021.0</v>
      </c>
      <c r="B140" s="2" t="s">
        <v>17</v>
      </c>
      <c r="C140" s="3">
        <v>7028.0</v>
      </c>
      <c r="D140" s="3">
        <v>1129052.0</v>
      </c>
      <c r="E140" s="2">
        <v>6.2</v>
      </c>
      <c r="F140" s="2">
        <v>34.9</v>
      </c>
      <c r="G140" s="2">
        <v>32.5</v>
      </c>
    </row>
    <row r="141" ht="15.75" customHeight="1">
      <c r="A141" s="2">
        <v>2021.0</v>
      </c>
      <c r="B141" s="2" t="s">
        <v>18</v>
      </c>
      <c r="C141" s="3">
        <v>9276.0</v>
      </c>
      <c r="D141" s="3">
        <v>1467719.0</v>
      </c>
      <c r="E141" s="2">
        <v>6.3</v>
      </c>
      <c r="F141" s="2">
        <v>36.9</v>
      </c>
      <c r="G141" s="2">
        <v>34.0</v>
      </c>
    </row>
    <row r="142" ht="15.75" customHeight="1">
      <c r="A142" s="2">
        <v>2021.0</v>
      </c>
      <c r="B142" s="2" t="s">
        <v>19</v>
      </c>
      <c r="C142" s="3">
        <v>8074.0</v>
      </c>
      <c r="D142" s="3">
        <v>1321795.0</v>
      </c>
      <c r="E142" s="2">
        <v>6.1</v>
      </c>
      <c r="F142" s="2">
        <v>35.2</v>
      </c>
      <c r="G142" s="2">
        <v>32.8</v>
      </c>
    </row>
    <row r="143" ht="15.75" customHeight="1">
      <c r="A143" s="2">
        <v>2021.0</v>
      </c>
      <c r="B143" s="2" t="s">
        <v>20</v>
      </c>
      <c r="C143" s="3">
        <v>14814.0</v>
      </c>
      <c r="D143" s="3">
        <v>2021685.0</v>
      </c>
      <c r="E143" s="2">
        <v>7.3</v>
      </c>
      <c r="F143" s="2">
        <v>34.8</v>
      </c>
      <c r="G143" s="2">
        <v>32.2</v>
      </c>
    </row>
    <row r="144" ht="15.75" customHeight="1">
      <c r="A144" s="2">
        <v>2021.0</v>
      </c>
      <c r="B144" s="2" t="s">
        <v>21</v>
      </c>
      <c r="C144" s="3">
        <v>15557.0</v>
      </c>
      <c r="D144" s="3">
        <v>2117749.0</v>
      </c>
      <c r="E144" s="2">
        <v>7.4</v>
      </c>
      <c r="F144" s="2">
        <v>34.8</v>
      </c>
      <c r="G144" s="2">
        <v>32.3</v>
      </c>
    </row>
    <row r="145" ht="15.75" customHeight="1">
      <c r="A145" s="2">
        <v>2021.0</v>
      </c>
      <c r="B145" s="2" t="s">
        <v>22</v>
      </c>
      <c r="C145" s="3">
        <v>103364.0</v>
      </c>
      <c r="D145" s="3">
        <v>1.6912069E7</v>
      </c>
      <c r="E145" s="2">
        <v>6.1</v>
      </c>
      <c r="F145" s="2">
        <v>34.9</v>
      </c>
      <c r="G145" s="2">
        <v>32.4</v>
      </c>
    </row>
    <row r="146" ht="15.75" customHeight="1">
      <c r="A146" s="2">
        <v>2022.0</v>
      </c>
      <c r="B146" s="2" t="s">
        <v>7</v>
      </c>
      <c r="C146" s="3">
        <v>4303.0</v>
      </c>
      <c r="D146" s="3">
        <v>642120.0</v>
      </c>
      <c r="E146" s="2">
        <v>6.7</v>
      </c>
      <c r="F146" s="2">
        <v>36.5</v>
      </c>
      <c r="G146" s="2">
        <v>34.0</v>
      </c>
    </row>
    <row r="147" ht="15.75" customHeight="1">
      <c r="A147" s="2">
        <v>2022.0</v>
      </c>
      <c r="B147" s="2" t="s">
        <v>8</v>
      </c>
      <c r="C147" s="3">
        <v>2339.0</v>
      </c>
      <c r="D147" s="3">
        <v>361498.0</v>
      </c>
      <c r="E147" s="2">
        <v>6.5</v>
      </c>
      <c r="F147" s="2">
        <v>35.5</v>
      </c>
      <c r="G147" s="2">
        <v>33.0</v>
      </c>
    </row>
    <row r="148" ht="15.75" customHeight="1">
      <c r="A148" s="2">
        <v>2022.0</v>
      </c>
      <c r="B148" s="2" t="s">
        <v>9</v>
      </c>
      <c r="C148" s="3">
        <v>6376.0</v>
      </c>
      <c r="D148" s="3">
        <v>915059.0</v>
      </c>
      <c r="E148" s="2">
        <v>7.0</v>
      </c>
      <c r="F148" s="2">
        <v>35.7</v>
      </c>
      <c r="G148" s="2">
        <v>33.3</v>
      </c>
    </row>
    <row r="149" ht="15.75" customHeight="1">
      <c r="A149" s="2">
        <v>2022.0</v>
      </c>
      <c r="B149" s="2" t="s">
        <v>10</v>
      </c>
      <c r="C149" s="3">
        <v>41833.0</v>
      </c>
      <c r="D149" s="3">
        <v>5777077.0</v>
      </c>
      <c r="E149" s="2">
        <v>7.2</v>
      </c>
      <c r="F149" s="2">
        <v>35.2</v>
      </c>
      <c r="G149" s="2">
        <v>32.9</v>
      </c>
    </row>
    <row r="150" ht="15.75" customHeight="1">
      <c r="A150" s="2">
        <v>2022.0</v>
      </c>
      <c r="B150" s="2" t="s">
        <v>11</v>
      </c>
      <c r="C150" s="3">
        <v>5612.0</v>
      </c>
      <c r="D150" s="3">
        <v>845871.0</v>
      </c>
      <c r="E150" s="2">
        <v>6.6</v>
      </c>
      <c r="F150" s="2">
        <v>35.7</v>
      </c>
      <c r="G150" s="2">
        <v>33.2</v>
      </c>
    </row>
    <row r="151" ht="15.75" customHeight="1">
      <c r="A151" s="2">
        <v>2022.0</v>
      </c>
      <c r="B151" s="2" t="s">
        <v>12</v>
      </c>
      <c r="C151" s="3">
        <v>3700.0</v>
      </c>
      <c r="D151" s="3">
        <v>607188.0</v>
      </c>
      <c r="E151" s="2">
        <v>6.1</v>
      </c>
      <c r="F151" s="2">
        <v>34.6</v>
      </c>
      <c r="G151" s="2">
        <v>32.4</v>
      </c>
    </row>
    <row r="152" ht="15.75" customHeight="1">
      <c r="A152" s="2">
        <v>2022.0</v>
      </c>
      <c r="B152" s="2" t="s">
        <v>13</v>
      </c>
      <c r="C152" s="3">
        <v>2964.0</v>
      </c>
      <c r="D152" s="3">
        <v>421459.0</v>
      </c>
      <c r="E152" s="2">
        <v>7.0</v>
      </c>
      <c r="F152" s="2">
        <v>35.7</v>
      </c>
      <c r="G152" s="2">
        <v>32.6</v>
      </c>
    </row>
    <row r="153" ht="15.75" customHeight="1">
      <c r="A153" s="2">
        <v>2022.0</v>
      </c>
      <c r="B153" s="2" t="s">
        <v>14</v>
      </c>
      <c r="C153" s="3">
        <v>5549.0</v>
      </c>
      <c r="D153" s="3">
        <v>800012.0</v>
      </c>
      <c r="E153" s="2">
        <v>6.9</v>
      </c>
      <c r="F153" s="2">
        <v>35.7</v>
      </c>
      <c r="G153" s="2">
        <v>33.2</v>
      </c>
    </row>
    <row r="154" ht="15.75" customHeight="1">
      <c r="A154" s="2">
        <v>2022.0</v>
      </c>
      <c r="B154" s="2" t="s">
        <v>15</v>
      </c>
      <c r="C154" s="3">
        <v>4665.0</v>
      </c>
      <c r="D154" s="3">
        <v>714484.0</v>
      </c>
      <c r="E154" s="2">
        <v>6.5</v>
      </c>
      <c r="F154" s="2">
        <v>36.4</v>
      </c>
      <c r="G154" s="2">
        <v>33.6</v>
      </c>
    </row>
    <row r="155" ht="15.75" customHeight="1">
      <c r="A155" s="2">
        <v>2022.0</v>
      </c>
      <c r="B155" s="2" t="s">
        <v>16</v>
      </c>
      <c r="C155" s="3">
        <v>1644.0</v>
      </c>
      <c r="D155" s="3">
        <v>218255.0</v>
      </c>
      <c r="E155" s="2">
        <v>7.5</v>
      </c>
      <c r="F155" s="2">
        <v>38.1</v>
      </c>
      <c r="G155" s="2">
        <v>34.5</v>
      </c>
    </row>
    <row r="156" ht="15.75" customHeight="1">
      <c r="A156" s="2">
        <v>2022.0</v>
      </c>
      <c r="B156" s="2" t="s">
        <v>17</v>
      </c>
      <c r="C156" s="3">
        <v>7496.0</v>
      </c>
      <c r="D156" s="3">
        <v>1139119.0</v>
      </c>
      <c r="E156" s="2">
        <v>6.6</v>
      </c>
      <c r="F156" s="2">
        <v>35.4</v>
      </c>
      <c r="G156" s="2">
        <v>33.1</v>
      </c>
    </row>
    <row r="157" ht="15.75" customHeight="1">
      <c r="A157" s="2">
        <v>2022.0</v>
      </c>
      <c r="B157" s="2" t="s">
        <v>18</v>
      </c>
      <c r="C157" s="3">
        <v>9438.0</v>
      </c>
      <c r="D157" s="3">
        <v>1477427.0</v>
      </c>
      <c r="E157" s="2">
        <v>6.4</v>
      </c>
      <c r="F157" s="2">
        <v>37.6</v>
      </c>
      <c r="G157" s="2">
        <v>34.8</v>
      </c>
    </row>
    <row r="158" ht="15.75" customHeight="1">
      <c r="A158" s="2">
        <v>2022.0</v>
      </c>
      <c r="B158" s="2" t="s">
        <v>19</v>
      </c>
      <c r="C158" s="3">
        <v>9011.0</v>
      </c>
      <c r="D158" s="3">
        <v>1331466.0</v>
      </c>
      <c r="E158" s="2">
        <v>6.8</v>
      </c>
      <c r="F158" s="2">
        <v>36.2</v>
      </c>
      <c r="G158" s="2">
        <v>33.7</v>
      </c>
    </row>
    <row r="159" ht="15.75" customHeight="1">
      <c r="A159" s="2">
        <v>2022.0</v>
      </c>
      <c r="B159" s="2" t="s">
        <v>20</v>
      </c>
      <c r="C159" s="3">
        <v>15024.0</v>
      </c>
      <c r="D159" s="3">
        <v>2039105.0</v>
      </c>
      <c r="E159" s="2">
        <v>7.4</v>
      </c>
      <c r="F159" s="2">
        <v>35.3</v>
      </c>
      <c r="G159" s="2">
        <v>32.8</v>
      </c>
    </row>
    <row r="160" ht="15.75" customHeight="1">
      <c r="A160" s="2">
        <v>2022.0</v>
      </c>
      <c r="B160" s="2" t="s">
        <v>21</v>
      </c>
      <c r="C160" s="3">
        <v>16696.0</v>
      </c>
      <c r="D160" s="3">
        <v>2142243.0</v>
      </c>
      <c r="E160" s="2">
        <v>7.8</v>
      </c>
      <c r="F160" s="2">
        <v>35.5</v>
      </c>
      <c r="G160" s="2">
        <v>32.9</v>
      </c>
    </row>
    <row r="161" ht="15.75" customHeight="1">
      <c r="A161" s="2">
        <v>2022.0</v>
      </c>
      <c r="B161" s="2" t="s">
        <v>22</v>
      </c>
      <c r="C161" s="3">
        <v>110116.0</v>
      </c>
      <c r="D161" s="3">
        <v>1.6984213E7</v>
      </c>
      <c r="E161" s="2">
        <v>6.5</v>
      </c>
      <c r="F161" s="2">
        <v>35.7</v>
      </c>
      <c r="G161" s="2">
        <v>33.2</v>
      </c>
    </row>
    <row r="162" ht="15.75" customHeight="1">
      <c r="A162" s="2">
        <v>2023.0</v>
      </c>
      <c r="B162" s="2" t="s">
        <v>7</v>
      </c>
      <c r="C162" s="2">
        <v>4026.0</v>
      </c>
      <c r="D162" s="2">
        <v>644680.0</v>
      </c>
      <c r="E162" s="2">
        <v>6.2</v>
      </c>
      <c r="F162" s="2">
        <v>36.8</v>
      </c>
      <c r="G162" s="2">
        <v>34.2</v>
      </c>
    </row>
    <row r="163" ht="15.75" customHeight="1">
      <c r="A163" s="2">
        <v>2023.0</v>
      </c>
      <c r="B163" s="2" t="s">
        <v>8</v>
      </c>
      <c r="C163" s="2">
        <v>2261.0</v>
      </c>
      <c r="D163" s="2">
        <v>363349.0</v>
      </c>
      <c r="E163" s="2">
        <v>6.2</v>
      </c>
      <c r="F163" s="2">
        <v>35.3</v>
      </c>
      <c r="G163" s="2">
        <v>33.1</v>
      </c>
    </row>
    <row r="164" ht="15.75" customHeight="1">
      <c r="A164" s="2">
        <v>2023.0</v>
      </c>
      <c r="B164" s="2" t="s">
        <v>9</v>
      </c>
      <c r="C164" s="2">
        <v>6107.0</v>
      </c>
      <c r="D164" s="2">
        <v>920452.0</v>
      </c>
      <c r="E164" s="2">
        <v>6.6</v>
      </c>
      <c r="F164" s="2">
        <v>35.8</v>
      </c>
      <c r="G164" s="2">
        <v>33.5</v>
      </c>
    </row>
    <row r="165" ht="15.75" customHeight="1">
      <c r="A165" s="2">
        <v>2023.0</v>
      </c>
      <c r="B165" s="2" t="s">
        <v>10</v>
      </c>
      <c r="C165" s="2">
        <v>39612.0</v>
      </c>
      <c r="D165" s="2">
        <v>5837667.0</v>
      </c>
      <c r="E165" s="2">
        <v>6.8</v>
      </c>
      <c r="F165" s="2">
        <v>35.4</v>
      </c>
      <c r="G165" s="2">
        <v>33.1</v>
      </c>
    </row>
    <row r="166" ht="15.75" customHeight="1">
      <c r="A166" s="2">
        <v>2023.0</v>
      </c>
      <c r="B166" s="2" t="s">
        <v>11</v>
      </c>
      <c r="C166" s="2">
        <v>5418.0</v>
      </c>
      <c r="D166" s="2">
        <v>851211.0</v>
      </c>
      <c r="E166" s="2">
        <v>6.4</v>
      </c>
      <c r="F166" s="2">
        <v>36.3</v>
      </c>
      <c r="G166" s="2">
        <v>33.9</v>
      </c>
    </row>
    <row r="167" ht="15.75" customHeight="1">
      <c r="A167" s="2">
        <v>2023.0</v>
      </c>
      <c r="B167" s="2" t="s">
        <v>12</v>
      </c>
      <c r="C167" s="2">
        <v>3647.0</v>
      </c>
      <c r="D167" s="2">
        <v>610866.0</v>
      </c>
      <c r="E167" s="2">
        <v>6.0</v>
      </c>
      <c r="F167" s="2">
        <v>35.1</v>
      </c>
      <c r="G167" s="2">
        <v>32.9</v>
      </c>
    </row>
    <row r="168" ht="15.75" customHeight="1">
      <c r="A168" s="2">
        <v>2023.0</v>
      </c>
      <c r="B168" s="2" t="s">
        <v>13</v>
      </c>
      <c r="C168" s="2">
        <v>2998.0</v>
      </c>
      <c r="D168" s="2">
        <v>423453.0</v>
      </c>
      <c r="E168" s="2">
        <v>7.1</v>
      </c>
      <c r="F168" s="2">
        <v>35.8</v>
      </c>
      <c r="G168" s="2">
        <v>32.6</v>
      </c>
    </row>
    <row r="169" ht="15.75" customHeight="1">
      <c r="A169" s="2">
        <v>2023.0</v>
      </c>
      <c r="B169" s="2" t="s">
        <v>14</v>
      </c>
      <c r="C169" s="2">
        <v>5236.0</v>
      </c>
      <c r="D169" s="2">
        <v>802623.0</v>
      </c>
      <c r="E169" s="2">
        <v>6.5</v>
      </c>
      <c r="F169" s="2">
        <v>36.0</v>
      </c>
      <c r="G169" s="2">
        <v>33.6</v>
      </c>
    </row>
    <row r="170" ht="15.75" customHeight="1">
      <c r="A170" s="2">
        <v>2023.0</v>
      </c>
      <c r="B170" s="2" t="s">
        <v>15</v>
      </c>
      <c r="C170" s="2">
        <v>4417.0</v>
      </c>
      <c r="D170" s="2">
        <v>716587.0</v>
      </c>
      <c r="E170" s="2">
        <v>6.2</v>
      </c>
      <c r="F170" s="2">
        <v>36.4</v>
      </c>
      <c r="G170" s="2">
        <v>33.9</v>
      </c>
    </row>
    <row r="171" ht="15.75" customHeight="1">
      <c r="A171" s="2">
        <v>2023.0</v>
      </c>
      <c r="B171" s="2" t="s">
        <v>16</v>
      </c>
      <c r="C171" s="2">
        <v>1616.0</v>
      </c>
      <c r="D171" s="2">
        <v>219308.0</v>
      </c>
      <c r="E171" s="2">
        <v>7.4</v>
      </c>
      <c r="F171" s="2">
        <v>37.8</v>
      </c>
      <c r="G171" s="2">
        <v>34.4</v>
      </c>
    </row>
    <row r="172" ht="15.75" customHeight="1">
      <c r="A172" s="2">
        <v>2023.0</v>
      </c>
      <c r="B172" s="2" t="s">
        <v>17</v>
      </c>
      <c r="C172" s="2">
        <v>7182.0</v>
      </c>
      <c r="D172" s="2">
        <v>1150280.0</v>
      </c>
      <c r="E172" s="2">
        <v>6.2</v>
      </c>
      <c r="F172" s="2">
        <v>35.9</v>
      </c>
      <c r="G172" s="2">
        <v>33.5</v>
      </c>
    </row>
    <row r="173" ht="15.75" customHeight="1">
      <c r="A173" s="2">
        <v>2023.0</v>
      </c>
      <c r="B173" s="2" t="s">
        <v>18</v>
      </c>
      <c r="C173" s="2">
        <v>9213.0</v>
      </c>
      <c r="D173" s="2">
        <v>1489703.0</v>
      </c>
      <c r="E173" s="2">
        <v>6.2</v>
      </c>
      <c r="F173" s="2">
        <v>38.0</v>
      </c>
      <c r="G173" s="2">
        <v>35.2</v>
      </c>
    </row>
    <row r="174" ht="15.75" customHeight="1">
      <c r="A174" s="2">
        <v>2023.0</v>
      </c>
      <c r="B174" s="2" t="s">
        <v>19</v>
      </c>
      <c r="C174" s="2">
        <v>8648.0</v>
      </c>
      <c r="D174" s="2">
        <v>1343666.0</v>
      </c>
      <c r="E174" s="2">
        <v>6.4</v>
      </c>
      <c r="F174" s="2">
        <v>36.3</v>
      </c>
      <c r="G174" s="2">
        <v>34.0</v>
      </c>
    </row>
    <row r="175" ht="15.75" customHeight="1">
      <c r="A175" s="2">
        <v>2023.0</v>
      </c>
      <c r="B175" s="2" t="s">
        <v>20</v>
      </c>
      <c r="C175" s="2">
        <v>14949.0</v>
      </c>
      <c r="D175" s="2">
        <v>2059017.0</v>
      </c>
      <c r="E175" s="2">
        <v>7.3</v>
      </c>
      <c r="F175" s="2">
        <v>35.6</v>
      </c>
      <c r="G175" s="2">
        <v>33.0</v>
      </c>
    </row>
    <row r="176" ht="15.75" customHeight="1">
      <c r="A176" s="2">
        <v>2023.0</v>
      </c>
      <c r="B176" s="2" t="s">
        <v>21</v>
      </c>
      <c r="C176" s="2">
        <v>16200.0</v>
      </c>
      <c r="D176" s="2">
        <v>2170392.0</v>
      </c>
      <c r="E176" s="2">
        <v>7.5</v>
      </c>
      <c r="F176" s="2">
        <v>35.5</v>
      </c>
      <c r="G176" s="2">
        <v>33.1</v>
      </c>
    </row>
    <row r="177" ht="15.75" customHeight="1">
      <c r="A177" s="2">
        <v>2023.0</v>
      </c>
      <c r="B177" s="2" t="s">
        <v>22</v>
      </c>
      <c r="C177" s="2">
        <v>103685.0</v>
      </c>
      <c r="D177" s="2">
        <v>1.7071295E7</v>
      </c>
      <c r="E177" s="2">
        <v>6.1</v>
      </c>
      <c r="F177" s="2">
        <v>35.8</v>
      </c>
      <c r="G177" s="2">
        <v>33.5</v>
      </c>
    </row>
    <row r="178" ht="15.75" customHeight="1">
      <c r="A178" s="2">
        <v>2024.0</v>
      </c>
      <c r="B178" s="2" t="s">
        <v>7</v>
      </c>
      <c r="C178" s="2">
        <v>4213.0</v>
      </c>
      <c r="D178" s="2">
        <v>646644.0</v>
      </c>
      <c r="E178" s="2">
        <v>6.5</v>
      </c>
      <c r="F178" s="2">
        <v>36.81</v>
      </c>
      <c r="G178" s="2">
        <v>34.45</v>
      </c>
    </row>
    <row r="179" ht="15.75" customHeight="1">
      <c r="A179" s="2">
        <v>2024.0</v>
      </c>
      <c r="B179" s="2" t="s">
        <v>8</v>
      </c>
      <c r="C179" s="2">
        <v>2226.0</v>
      </c>
      <c r="D179" s="2">
        <v>364725.0</v>
      </c>
      <c r="E179" s="2">
        <v>6.1</v>
      </c>
      <c r="F179" s="2">
        <v>36.17</v>
      </c>
      <c r="G179" s="2">
        <v>33.84</v>
      </c>
    </row>
    <row r="180" ht="15.75" customHeight="1">
      <c r="A180" s="2">
        <v>2024.0</v>
      </c>
      <c r="B180" s="2" t="s">
        <v>9</v>
      </c>
      <c r="C180" s="2">
        <v>6127.0</v>
      </c>
      <c r="D180" s="2">
        <v>924846.0</v>
      </c>
      <c r="E180" s="2">
        <v>6.6</v>
      </c>
      <c r="F180" s="2">
        <v>36.1</v>
      </c>
      <c r="G180" s="2">
        <v>33.75</v>
      </c>
    </row>
    <row r="181" ht="15.75" customHeight="1">
      <c r="A181" s="2">
        <v>2024.0</v>
      </c>
      <c r="B181" s="2" t="s">
        <v>10</v>
      </c>
      <c r="C181" s="2">
        <v>40810.0</v>
      </c>
      <c r="D181" s="2">
        <v>5893316.0</v>
      </c>
      <c r="E181" s="2">
        <v>6.9</v>
      </c>
      <c r="F181" s="2">
        <v>35.56</v>
      </c>
      <c r="G181" s="2">
        <v>33.3</v>
      </c>
    </row>
    <row r="182" ht="15.75" customHeight="1">
      <c r="A182" s="2">
        <v>2024.0</v>
      </c>
      <c r="B182" s="2" t="s">
        <v>11</v>
      </c>
      <c r="C182" s="2">
        <v>5444.0</v>
      </c>
      <c r="D182" s="2">
        <v>856143.0</v>
      </c>
      <c r="E182" s="2">
        <v>6.4</v>
      </c>
      <c r="F182" s="2">
        <v>36.46</v>
      </c>
      <c r="G182" s="2">
        <v>34.21</v>
      </c>
    </row>
    <row r="183" ht="15.75" customHeight="1">
      <c r="A183" s="2">
        <v>2024.0</v>
      </c>
      <c r="B183" s="2" t="s">
        <v>12</v>
      </c>
      <c r="C183" s="2">
        <v>3814.0</v>
      </c>
      <c r="D183" s="2">
        <v>614180.0</v>
      </c>
      <c r="E183" s="2">
        <v>6.2</v>
      </c>
      <c r="F183" s="2">
        <v>35.14</v>
      </c>
      <c r="G183" s="2">
        <v>32.7</v>
      </c>
    </row>
    <row r="184" ht="15.75" customHeight="1">
      <c r="A184" s="2">
        <v>2024.0</v>
      </c>
      <c r="B184" s="2" t="s">
        <v>13</v>
      </c>
      <c r="C184" s="2">
        <v>3072.0</v>
      </c>
      <c r="D184" s="2">
        <v>425456.0</v>
      </c>
      <c r="E184" s="2">
        <v>7.2</v>
      </c>
      <c r="F184" s="2">
        <v>35.64</v>
      </c>
      <c r="G184" s="2">
        <v>33.02</v>
      </c>
    </row>
    <row r="185" ht="15.75" customHeight="1">
      <c r="A185" s="2">
        <v>2024.0</v>
      </c>
      <c r="B185" s="2" t="s">
        <v>14</v>
      </c>
      <c r="C185" s="2">
        <v>5350.0</v>
      </c>
      <c r="D185" s="2">
        <v>804756.0</v>
      </c>
      <c r="E185" s="2">
        <v>6.7</v>
      </c>
      <c r="F185" s="2">
        <v>36.48</v>
      </c>
      <c r="G185" s="2">
        <v>33.95</v>
      </c>
    </row>
    <row r="186" ht="15.75" customHeight="1">
      <c r="A186" s="2">
        <v>2024.0</v>
      </c>
      <c r="B186" s="2" t="s">
        <v>15</v>
      </c>
      <c r="C186" s="2">
        <v>4483.0</v>
      </c>
      <c r="D186" s="2">
        <v>718820.0</v>
      </c>
      <c r="E186" s="2">
        <v>6.2</v>
      </c>
      <c r="F186" s="2">
        <v>36.73</v>
      </c>
      <c r="G186" s="2">
        <v>34.1</v>
      </c>
    </row>
    <row r="187" ht="15.75" customHeight="1">
      <c r="A187" s="2">
        <v>2024.0</v>
      </c>
      <c r="B187" s="2" t="s">
        <v>16</v>
      </c>
      <c r="C187" s="2">
        <v>1637.0</v>
      </c>
      <c r="D187" s="2">
        <v>220170.0</v>
      </c>
      <c r="E187" s="2">
        <v>7.4</v>
      </c>
      <c r="F187" s="2">
        <v>38.02</v>
      </c>
      <c r="G187" s="2">
        <v>34.66</v>
      </c>
    </row>
    <row r="188" ht="15.75" customHeight="1">
      <c r="A188" s="2">
        <v>2024.0</v>
      </c>
      <c r="B188" s="2" t="s">
        <v>17</v>
      </c>
      <c r="C188" s="2">
        <v>7403.0</v>
      </c>
      <c r="D188" s="2">
        <v>1160390.0</v>
      </c>
      <c r="E188" s="2">
        <v>6.4</v>
      </c>
      <c r="F188" s="2">
        <v>35.75</v>
      </c>
      <c r="G188" s="2">
        <v>33.57</v>
      </c>
    </row>
    <row r="189" ht="15.75" customHeight="1">
      <c r="A189" s="2">
        <v>2024.0</v>
      </c>
      <c r="B189" s="2" t="s">
        <v>18</v>
      </c>
      <c r="C189" s="2">
        <v>9317.0</v>
      </c>
      <c r="D189" s="2">
        <v>1500100.0</v>
      </c>
      <c r="E189" s="2">
        <v>6.2</v>
      </c>
      <c r="F189" s="2">
        <v>38.04</v>
      </c>
      <c r="G189" s="2">
        <v>35.39</v>
      </c>
    </row>
    <row r="190" ht="15.75" customHeight="1">
      <c r="A190" s="2">
        <v>2024.0</v>
      </c>
      <c r="B190" s="2" t="s">
        <v>19</v>
      </c>
      <c r="C190" s="2">
        <v>9002.0</v>
      </c>
      <c r="D190" s="2">
        <v>1354835.0</v>
      </c>
      <c r="E190" s="2">
        <v>6.6</v>
      </c>
      <c r="F190" s="2">
        <v>36.27</v>
      </c>
      <c r="G190" s="2">
        <v>34.02</v>
      </c>
    </row>
    <row r="191" ht="15.75" customHeight="1">
      <c r="A191" s="2">
        <v>2024.0</v>
      </c>
      <c r="B191" s="2" t="s">
        <v>20</v>
      </c>
      <c r="C191" s="2">
        <v>14938.0</v>
      </c>
      <c r="D191" s="2">
        <v>2076843.0</v>
      </c>
      <c r="E191" s="2">
        <v>7.2</v>
      </c>
      <c r="F191" s="2">
        <v>35.74</v>
      </c>
      <c r="G191" s="2">
        <v>33.29</v>
      </c>
    </row>
    <row r="192" ht="15.75" customHeight="1">
      <c r="A192" s="2">
        <v>2024.0</v>
      </c>
      <c r="B192" s="2" t="s">
        <v>21</v>
      </c>
      <c r="C192" s="2">
        <v>16582.0</v>
      </c>
      <c r="D192" s="2">
        <v>2196652.0</v>
      </c>
      <c r="E192" s="2">
        <v>7.6</v>
      </c>
      <c r="F192" s="2">
        <v>35.66</v>
      </c>
      <c r="G192" s="2">
        <v>33.35</v>
      </c>
    </row>
    <row r="193" ht="15.75" customHeight="1">
      <c r="A193" s="2">
        <v>2024.0</v>
      </c>
      <c r="B193" s="2" t="s">
        <v>22</v>
      </c>
      <c r="C193" s="2">
        <v>103432.0</v>
      </c>
      <c r="D193" s="2">
        <v>1.7143326E7</v>
      </c>
      <c r="E193" s="2">
        <v>6.0</v>
      </c>
      <c r="F193" s="2">
        <v>35.9</v>
      </c>
      <c r="G193" s="2">
        <v>33.59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" width="8.71"/>
    <col customWidth="1" min="4" max="4" width="34.57"/>
    <col customWidth="1" min="5" max="26" width="8.71"/>
  </cols>
  <sheetData>
    <row r="1">
      <c r="A1" s="4" t="s">
        <v>23</v>
      </c>
    </row>
    <row r="2">
      <c r="A2" s="5" t="s">
        <v>20</v>
      </c>
      <c r="B2" s="5">
        <f>SUMIF(nupcialidade!$B$1:$B$1048564,A2,nupcialidade!$C$1:$C$1048564)</f>
        <v>196082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3.71"/>
    <col customWidth="1" min="6" max="26" width="8.71"/>
  </cols>
  <sheetData>
    <row r="1">
      <c r="A1" s="6" t="s">
        <v>24</v>
      </c>
    </row>
    <row r="2">
      <c r="A2" s="5">
        <f>COUNTIF(nupcialidade!$E$2:$E$1048564,"&gt;7")</f>
        <v>126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7" t="s">
        <v>25</v>
      </c>
    </row>
    <row r="2">
      <c r="A2" s="8">
        <v>2013.0</v>
      </c>
      <c r="B2" s="5">
        <f>AVERAGEIF(nupcialidade!A:A,A2,nupcialidade!F:F)</f>
        <v>32.8375</v>
      </c>
    </row>
    <row r="3">
      <c r="A3" s="8">
        <v>2014.0</v>
      </c>
      <c r="B3" s="5">
        <f>AVERAGEIF(nupcialidade!A:A,A3,nupcialidade!F:F)</f>
        <v>33.15</v>
      </c>
    </row>
    <row r="4">
      <c r="A4" s="8">
        <v>2015.0</v>
      </c>
      <c r="B4" s="5">
        <f>AVERAGEIF(nupcialidade!A:A,A4,nupcialidade!F:F)</f>
        <v>33.36875</v>
      </c>
    </row>
    <row r="5">
      <c r="A5" s="8">
        <v>2016.0</v>
      </c>
      <c r="B5" s="5">
        <f>AVERAGEIF(nupcialidade!A:A,A5,nupcialidade!F:F)</f>
        <v>33.71875</v>
      </c>
    </row>
    <row r="6">
      <c r="A6" s="8">
        <v>2017.0</v>
      </c>
      <c r="B6" s="5">
        <f>AVERAGEIF(nupcialidade!A:A,A6,nupcialidade!F:F)</f>
        <v>34.125</v>
      </c>
    </row>
    <row r="7">
      <c r="A7" s="8">
        <v>2018.0</v>
      </c>
      <c r="B7" s="5">
        <f>AVERAGEIF(nupcialidade!A:A,A7,nupcialidade!F:F)</f>
        <v>34.4125</v>
      </c>
    </row>
    <row r="8">
      <c r="A8" s="8">
        <v>2019.0</v>
      </c>
      <c r="B8" s="5">
        <f>AVERAGEIF(nupcialidade!A:A,A8,nupcialidade!F:F)</f>
        <v>34.9</v>
      </c>
    </row>
    <row r="9">
      <c r="A9" s="8">
        <v>2020.0</v>
      </c>
      <c r="B9" s="5">
        <f>AVERAGEIF(nupcialidade!A:A,A9,nupcialidade!F:F)</f>
        <v>35.15</v>
      </c>
    </row>
    <row r="10">
      <c r="A10" s="8">
        <v>2021.0</v>
      </c>
      <c r="B10" s="5">
        <f>AVERAGEIF(nupcialidade!A:A,A10,nupcialidade!F:F)</f>
        <v>35.25625</v>
      </c>
    </row>
    <row r="11">
      <c r="A11" s="8">
        <v>2022.0</v>
      </c>
      <c r="B11" s="5">
        <f>AVERAGEIF(nupcialidade!A:A,A11,nupcialidade!F:F)</f>
        <v>35.925</v>
      </c>
    </row>
    <row r="12">
      <c r="A12" s="8">
        <v>2023.0</v>
      </c>
      <c r="B12" s="5">
        <f>AVERAGEIF(nupcialidade!A:A,A12,nupcialidade!F:F)</f>
        <v>36.1125</v>
      </c>
    </row>
    <row r="13">
      <c r="A13" s="8">
        <v>2024.0</v>
      </c>
      <c r="B13" s="5">
        <f>AVERAGEIF(nupcialidade!A:A,A13,nupcialidade!F:F)</f>
        <v>36.279375</v>
      </c>
    </row>
    <row r="14">
      <c r="A14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6.86"/>
    <col customWidth="1" min="3" max="23" width="8.71"/>
  </cols>
  <sheetData>
    <row r="1">
      <c r="A1" s="10" t="s">
        <v>26</v>
      </c>
      <c r="B1" s="10"/>
      <c r="C1" s="10"/>
      <c r="D1" s="10"/>
    </row>
    <row r="2">
      <c r="A2" s="2" t="s">
        <v>7</v>
      </c>
      <c r="B2" s="2" t="str">
        <f>IFS(nupcialidade!G2&gt;30, "Foi maior", nupcialidade!G2&lt;31, "Não foi maior")</f>
        <v>Foi maior</v>
      </c>
    </row>
    <row r="3">
      <c r="A3" s="2" t="s">
        <v>8</v>
      </c>
      <c r="B3" s="2" t="str">
        <f>IFS(nupcialidade!G3&gt;30, "Foi maior", nupcialidade!G3&lt;31, "Não foi maior")</f>
        <v>Não foi maior</v>
      </c>
    </row>
    <row r="4">
      <c r="A4" s="2" t="s">
        <v>9</v>
      </c>
      <c r="B4" s="2" t="str">
        <f>IFS(nupcialidade!G4&gt;30, "Foi maior", nupcialidade!G4&lt;31, "Não foi maior")</f>
        <v>Não foi maior</v>
      </c>
    </row>
    <row r="5">
      <c r="A5" s="2" t="s">
        <v>10</v>
      </c>
      <c r="B5" s="2" t="str">
        <f>IFS(nupcialidade!G5&gt;30, "Foi maior", nupcialidade!G5&lt;31, "Não foi maior")</f>
        <v>Não foi maior</v>
      </c>
    </row>
    <row r="6">
      <c r="A6" s="2" t="s">
        <v>11</v>
      </c>
      <c r="B6" s="2" t="str">
        <f>IFS(nupcialidade!G6&gt;30, "Foi maior", nupcialidade!G6&lt;31, "Não foi maior")</f>
        <v>Foi maior</v>
      </c>
    </row>
    <row r="7">
      <c r="A7" s="2" t="s">
        <v>12</v>
      </c>
      <c r="B7" s="2" t="str">
        <f>IFS(nupcialidade!G7&gt;30, "Foi maior", nupcialidade!G7&lt;31, "Não foi maior")</f>
        <v>Não foi maior</v>
      </c>
    </row>
    <row r="8">
      <c r="A8" s="2" t="s">
        <v>13</v>
      </c>
      <c r="B8" s="2" t="str">
        <f>IFS(nupcialidade!G8&gt;30, "Foi maior", nupcialidade!G8&lt;31, "Não foi maior")</f>
        <v>Não foi maior</v>
      </c>
    </row>
    <row r="9">
      <c r="A9" s="2" t="s">
        <v>14</v>
      </c>
      <c r="B9" s="2" t="str">
        <f>IFS(nupcialidade!G9&gt;30, "Foi maior", nupcialidade!G9&lt;31, "Não foi maior")</f>
        <v>Não foi maior</v>
      </c>
    </row>
    <row r="10">
      <c r="A10" s="2" t="s">
        <v>15</v>
      </c>
      <c r="B10" s="2" t="str">
        <f>IFS(nupcialidade!G10&gt;30, "Foi maior", nupcialidade!G10&lt;31, "Não foi maior")</f>
        <v>Não foi maior</v>
      </c>
    </row>
    <row r="11">
      <c r="A11" s="2" t="s">
        <v>16</v>
      </c>
      <c r="B11" s="2" t="str">
        <f>IFS(nupcialidade!G11&gt;30, "Foi maior", nupcialidade!G11&lt;31, "Não foi maior")</f>
        <v>Foi maior</v>
      </c>
    </row>
    <row r="12">
      <c r="A12" s="2" t="s">
        <v>17</v>
      </c>
      <c r="B12" s="2" t="str">
        <f>IFS(nupcialidade!G12&gt;30, "Foi maior", nupcialidade!G12&lt;31, "Não foi maior")</f>
        <v>Não foi maior</v>
      </c>
    </row>
    <row r="13">
      <c r="A13" s="2" t="s">
        <v>18</v>
      </c>
      <c r="B13" s="2" t="str">
        <f>IFS(nupcialidade!G13&gt;30, "Foi maior", nupcialidade!G13&lt;31, "Não foi maior")</f>
        <v>Foi maior</v>
      </c>
    </row>
    <row r="14">
      <c r="A14" s="2" t="s">
        <v>19</v>
      </c>
      <c r="B14" s="2" t="str">
        <f>IFS(nupcialidade!G14&gt;30, "Foi maior", nupcialidade!G14&lt;31, "Não foi maior")</f>
        <v>Não foi maior</v>
      </c>
    </row>
    <row r="15">
      <c r="A15" s="2" t="s">
        <v>20</v>
      </c>
      <c r="B15" s="2" t="str">
        <f>IFS(nupcialidade!G15&gt;30, "Foi maior", nupcialidade!G15&lt;31, "Não foi maior")</f>
        <v>Não foi maior</v>
      </c>
    </row>
    <row r="16">
      <c r="A16" s="2" t="s">
        <v>21</v>
      </c>
      <c r="B16" s="2" t="str">
        <f>IFS(nupcialidade!G16&gt;30, "Foi maior", nupcialidade!G16&lt;31, "Não foi maior")</f>
        <v>Não foi maior</v>
      </c>
    </row>
    <row r="17">
      <c r="A17" s="2" t="s">
        <v>22</v>
      </c>
      <c r="B17" s="2" t="str">
        <f>IFS(nupcialidade!G17&gt;30, "Foi maior", nupcialidade!G17&lt;31, "Não foi maior")</f>
        <v>Foi maior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4.86"/>
    <col customWidth="1" min="3" max="24" width="8.71"/>
  </cols>
  <sheetData>
    <row r="1">
      <c r="A1" s="11" t="s">
        <v>27</v>
      </c>
    </row>
    <row r="2">
      <c r="A2" s="12" t="s">
        <v>28</v>
      </c>
      <c r="B2" s="13">
        <v>4.5973194E7</v>
      </c>
    </row>
    <row r="3">
      <c r="A3" s="12" t="s">
        <v>29</v>
      </c>
      <c r="B3" s="14">
        <v>1.7143326E7</v>
      </c>
    </row>
    <row r="4">
      <c r="A4" s="15" t="s">
        <v>30</v>
      </c>
      <c r="B4" s="16">
        <f>B3/B2</f>
        <v>0.3728983024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87401575" footer="0.0" header="0.0" left="0.511811024" right="0.511811024" top="0.787401575"/>
  <pageSetup orientation="landscape"/>
  <drawing r:id="rId1"/>
</worksheet>
</file>